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2D6755F-09B0-47CA-8F29-65F992BBD60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KELAS 1 " sheetId="2" r:id="rId1"/>
    <sheet name="KELAS 2" sheetId="11" r:id="rId2"/>
    <sheet name="KELAS 3" sheetId="10" r:id="rId3"/>
    <sheet name="KELAS 4" sheetId="9" r:id="rId4"/>
    <sheet name="KELAS 5" sheetId="6" r:id="rId5"/>
    <sheet name="KELAS 6" sheetId="1" r:id="rId6"/>
  </sheets>
  <definedNames>
    <definedName name="_xlnm.Print_Area" localSheetId="0">'KELAS 1 '!$A$1:$U$53</definedName>
    <definedName name="_xlnm.Print_Area" localSheetId="1">'KELAS 2'!$A$1:$H$39</definedName>
    <definedName name="_xlnm.Print_Area" localSheetId="2">'KELAS 3'!$A$1:$H$55</definedName>
    <definedName name="_xlnm.Print_Area" localSheetId="3">'KELAS 4'!$A$1:$T$59</definedName>
    <definedName name="_xlnm.Print_Area" localSheetId="4">'KELAS 5'!$A$1:$J$41</definedName>
    <definedName name="_xlnm.Print_Area" localSheetId="5">'KELAS 6'!$A$1:$S$67</definedName>
    <definedName name="_xlnm.Print_Titles" localSheetId="5">'KELAS 6'!$5:$6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2" l="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7" i="11"/>
  <c r="H7" i="10"/>
  <c r="H9" i="10"/>
  <c r="E53" i="10"/>
  <c r="H55" i="1" l="1"/>
  <c r="J7" i="9"/>
  <c r="G44" i="2"/>
  <c r="E58" i="1"/>
  <c r="F45" i="11"/>
  <c r="F44" i="11"/>
  <c r="F46" i="11" s="1"/>
  <c r="E50" i="9" l="1"/>
  <c r="E52" i="10"/>
  <c r="H54" i="1"/>
  <c r="E59" i="1" l="1"/>
  <c r="E51" i="9" l="1"/>
  <c r="E54" i="10" l="1"/>
  <c r="H8" i="10" l="1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J8" i="9"/>
  <c r="G43" i="2" l="1"/>
  <c r="J25" i="2" l="1"/>
  <c r="J8" i="2"/>
  <c r="J9" i="2"/>
  <c r="J16" i="2"/>
  <c r="J31" i="2"/>
  <c r="J7" i="2"/>
  <c r="J10" i="2"/>
  <c r="J11" i="2"/>
  <c r="J12" i="2"/>
  <c r="J15" i="2"/>
  <c r="J26" i="2"/>
  <c r="J14" i="2"/>
  <c r="J13" i="2"/>
  <c r="J30" i="2"/>
  <c r="J22" i="2"/>
  <c r="J17" i="2"/>
  <c r="J28" i="2"/>
  <c r="J18" i="2"/>
  <c r="J19" i="2"/>
  <c r="J37" i="2"/>
  <c r="J20" i="2"/>
  <c r="J23" i="2"/>
  <c r="J24" i="2"/>
  <c r="J34" i="2"/>
  <c r="J35" i="2"/>
  <c r="J27" i="2"/>
  <c r="J32" i="2"/>
  <c r="J38" i="2"/>
  <c r="J39" i="2"/>
  <c r="J40" i="2"/>
  <c r="J33" i="2"/>
  <c r="J29" i="2"/>
  <c r="E33" i="6" l="1"/>
  <c r="E32" i="6"/>
  <c r="J30" i="6"/>
  <c r="J17" i="9" l="1"/>
  <c r="J9" i="9"/>
  <c r="J10" i="9"/>
  <c r="J11" i="9"/>
  <c r="J12" i="9"/>
  <c r="J13" i="9"/>
  <c r="J14" i="9"/>
  <c r="J15" i="9"/>
  <c r="J16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7" i="6"/>
  <c r="J8" i="6" l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H7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12" i="1"/>
  <c r="H8" i="1"/>
  <c r="H9" i="1"/>
  <c r="H10" i="1"/>
  <c r="H11" i="1"/>
  <c r="E34" i="6" l="1"/>
  <c r="E52" i="9"/>
  <c r="E60" i="1" l="1"/>
  <c r="J21" i="2"/>
  <c r="G45" i="2" l="1"/>
</calcChain>
</file>

<file path=xl/sharedStrings.xml><?xml version="1.0" encoding="utf-8"?>
<sst xmlns="http://schemas.openxmlformats.org/spreadsheetml/2006/main" count="2459" uniqueCount="1040">
  <si>
    <t>SD NEGERI KALISALAK 01</t>
  </si>
  <si>
    <t>NO</t>
  </si>
  <si>
    <t>NAMA</t>
  </si>
  <si>
    <t>NIS</t>
  </si>
  <si>
    <t>NISN</t>
  </si>
  <si>
    <t>JP</t>
  </si>
  <si>
    <t>TEMPAT</t>
  </si>
  <si>
    <t>TANGGAL LAHIR</t>
  </si>
  <si>
    <t>UMUR</t>
  </si>
  <si>
    <t>AYAH</t>
  </si>
  <si>
    <t>IBU</t>
  </si>
  <si>
    <t>PEKERJAAN</t>
  </si>
  <si>
    <t>PENDIDIKAN</t>
  </si>
  <si>
    <t>ANAK KE</t>
  </si>
  <si>
    <t>JUMLAH SAUDARA</t>
  </si>
  <si>
    <t>ALAMAT</t>
  </si>
  <si>
    <t>RT</t>
  </si>
  <si>
    <t>RW</t>
  </si>
  <si>
    <t>ABDUL GHOFAR</t>
  </si>
  <si>
    <t>3150036197</t>
  </si>
  <si>
    <t>L</t>
  </si>
  <si>
    <t>TEGAL</t>
  </si>
  <si>
    <t>MIFTAHUDIN</t>
  </si>
  <si>
    <t>SITI KASTUTI</t>
  </si>
  <si>
    <t>KARYAWAN SWASTA</t>
  </si>
  <si>
    <t>IRT</t>
  </si>
  <si>
    <t>SLTA</t>
  </si>
  <si>
    <t>SD</t>
  </si>
  <si>
    <t>ABU DZAR ALGHIFARI</t>
  </si>
  <si>
    <t>3138127483</t>
  </si>
  <si>
    <t>MUKHLISIN</t>
  </si>
  <si>
    <t>NURYATI</t>
  </si>
  <si>
    <t>KARYAWAN</t>
  </si>
  <si>
    <t>BURUH</t>
  </si>
  <si>
    <t>ADEEVA DWI ANEIRA</t>
  </si>
  <si>
    <t>0141138854</t>
  </si>
  <si>
    <t>P</t>
  </si>
  <si>
    <t>HANJA SUROSO</t>
  </si>
  <si>
    <t>NURUL KHOTIMAH</t>
  </si>
  <si>
    <t>SLTP</t>
  </si>
  <si>
    <t>ADELIA KUSUMA RAHMAWATI</t>
  </si>
  <si>
    <t>3144740843</t>
  </si>
  <si>
    <t>SAKHURI</t>
  </si>
  <si>
    <t>ERNAWATI</t>
  </si>
  <si>
    <t>AHMAD RENDRA ALVANO</t>
  </si>
  <si>
    <t>0149508165</t>
  </si>
  <si>
    <t>SOHIRIN</t>
  </si>
  <si>
    <t>TOMIMAH</t>
  </si>
  <si>
    <t>WIRASWASTA</t>
  </si>
  <si>
    <t>AISYAH NUR SA'ADAH</t>
  </si>
  <si>
    <t>3148851165</t>
  </si>
  <si>
    <t>LILI RIYANTO</t>
  </si>
  <si>
    <t>INTAN SETYA NINGSIH</t>
  </si>
  <si>
    <t>-</t>
  </si>
  <si>
    <t>ANUGRAH ZAERA</t>
  </si>
  <si>
    <t>3151879583</t>
  </si>
  <si>
    <t>RUDI SANI</t>
  </si>
  <si>
    <t>SALIMAH</t>
  </si>
  <si>
    <t xml:space="preserve">PEDAGANG </t>
  </si>
  <si>
    <t>PEDAGANG</t>
  </si>
  <si>
    <t>ARYO HADI PRATAMA</t>
  </si>
  <si>
    <t>3150752012</t>
  </si>
  <si>
    <t>SUPRIHADI</t>
  </si>
  <si>
    <t>TOATIN</t>
  </si>
  <si>
    <t>S1</t>
  </si>
  <si>
    <t>ARZETI AVITASARI</t>
  </si>
  <si>
    <t>3142423143</t>
  </si>
  <si>
    <t>IWAN</t>
  </si>
  <si>
    <t>ROJANAH</t>
  </si>
  <si>
    <t>EARLYTA ARSIFA OKTAFIANI</t>
  </si>
  <si>
    <t>3141882407</t>
  </si>
  <si>
    <t>MOH. TAFID</t>
  </si>
  <si>
    <t>ESTI RATNASARI</t>
  </si>
  <si>
    <t>GUNTUR PUTRA ADITYA</t>
  </si>
  <si>
    <t>3148504388</t>
  </si>
  <si>
    <t>SARMAN</t>
  </si>
  <si>
    <t>NUR DEWI ENDANG ASIYAH</t>
  </si>
  <si>
    <t>HANI AGUSTINA FARIDIN</t>
  </si>
  <si>
    <t>3149452947</t>
  </si>
  <si>
    <t>MUJAHIDIN</t>
  </si>
  <si>
    <t>FAROKHA</t>
  </si>
  <si>
    <t>INDI RAHMAWATI</t>
  </si>
  <si>
    <t>3136999124</t>
  </si>
  <si>
    <t>SLAMET</t>
  </si>
  <si>
    <t>ROYATI</t>
  </si>
  <si>
    <t>ISCO ALFIYANO</t>
  </si>
  <si>
    <t>0142805922</t>
  </si>
  <si>
    <t>MARYADI</t>
  </si>
  <si>
    <t>CARSIH</t>
  </si>
  <si>
    <t>LINDAN ANJAS MORO</t>
  </si>
  <si>
    <t>3153985697</t>
  </si>
  <si>
    <t>SUDANDI</t>
  </si>
  <si>
    <t>ROKHILIYAH</t>
  </si>
  <si>
    <t>LIZA ANISAH</t>
  </si>
  <si>
    <t>3139418764</t>
  </si>
  <si>
    <t>KARIDIN</t>
  </si>
  <si>
    <t>RUMYATI</t>
  </si>
  <si>
    <t>M. ARFA GLORY NIVIYANTO</t>
  </si>
  <si>
    <t>3151706938</t>
  </si>
  <si>
    <t>EKO GLORINIVIYANTO</t>
  </si>
  <si>
    <t>NENGSIH</t>
  </si>
  <si>
    <t>M. AZKA AL GHIFARI RAMADHAN</t>
  </si>
  <si>
    <t>3146144428</t>
  </si>
  <si>
    <t>APUNG RIANTO</t>
  </si>
  <si>
    <t>SAMROTUL PUADAH</t>
  </si>
  <si>
    <t>M. GALANG SAPUTRA</t>
  </si>
  <si>
    <t>3147929715</t>
  </si>
  <si>
    <t>BREBES</t>
  </si>
  <si>
    <t>TANYAM</t>
  </si>
  <si>
    <t>TASRIYAH</t>
  </si>
  <si>
    <t>M. NIZAM ABIZAR</t>
  </si>
  <si>
    <t>3154571194</t>
  </si>
  <si>
    <t>NUROKHI</t>
  </si>
  <si>
    <t>ROKHILAH</t>
  </si>
  <si>
    <t>M. RAFA AL AHYARI</t>
  </si>
  <si>
    <t>3153754015</t>
  </si>
  <si>
    <t>TAR'AN</t>
  </si>
  <si>
    <t>SITI MUHAYATI</t>
  </si>
  <si>
    <t>M. YOSI FEBIYAN</t>
  </si>
  <si>
    <t>3159925905</t>
  </si>
  <si>
    <t>WAHYONO</t>
  </si>
  <si>
    <t>ROKHMAWATI</t>
  </si>
  <si>
    <t>MAHARANI CHINTIA DESTY</t>
  </si>
  <si>
    <t>3144320627</t>
  </si>
  <si>
    <t>TEGUH TRIYONO</t>
  </si>
  <si>
    <t>KESTI</t>
  </si>
  <si>
    <t>MARIZKA DWI UMAYAH</t>
  </si>
  <si>
    <t>3144550945</t>
  </si>
  <si>
    <t>JAKARTA</t>
  </si>
  <si>
    <t>PANJI SAPUTRA</t>
  </si>
  <si>
    <t>RINI UMAYAH</t>
  </si>
  <si>
    <t>MOH. KHOERUL ARIFIN</t>
  </si>
  <si>
    <t>3154425255</t>
  </si>
  <si>
    <t>RODJALI</t>
  </si>
  <si>
    <t>SINAP</t>
  </si>
  <si>
    <t>MOHAMAD GUFRON</t>
  </si>
  <si>
    <t>3146177427</t>
  </si>
  <si>
    <t>KORALI</t>
  </si>
  <si>
    <t>SLAMET TAMAROH</t>
  </si>
  <si>
    <t>MUHAMAD DIDIK SETIAWAN</t>
  </si>
  <si>
    <t>3155452568</t>
  </si>
  <si>
    <t>MUJIYANTO</t>
  </si>
  <si>
    <t>ERNA SUSANTI</t>
  </si>
  <si>
    <t>LUKMAN HAKIM</t>
  </si>
  <si>
    <t>MUHAMAD RIZKI ALFIAN</t>
  </si>
  <si>
    <t>3154972676</t>
  </si>
  <si>
    <t>SAEFULLAH</t>
  </si>
  <si>
    <t>SUMYATI</t>
  </si>
  <si>
    <t>MUHAMMAD ALFATIH</t>
  </si>
  <si>
    <t>3153066948</t>
  </si>
  <si>
    <t>ROMADON</t>
  </si>
  <si>
    <t>DESI RATNASARI</t>
  </si>
  <si>
    <t>MUHAMMAD BINTANG ALHAFIZ</t>
  </si>
  <si>
    <t>3154787264</t>
  </si>
  <si>
    <t>KHAERUL ANWAR</t>
  </si>
  <si>
    <t>NOVELIAWATI</t>
  </si>
  <si>
    <t>NAFA SEPTIANA PUTRI</t>
  </si>
  <si>
    <t>3145374579</t>
  </si>
  <si>
    <t>SUNARYO</t>
  </si>
  <si>
    <t>KHOTIMAH</t>
  </si>
  <si>
    <t>NINDI NURHASANAH PUTRI</t>
  </si>
  <si>
    <t>3154423984</t>
  </si>
  <si>
    <t>HASANUDIN</t>
  </si>
  <si>
    <t>WANAH</t>
  </si>
  <si>
    <t>RATNA AZIZAH</t>
  </si>
  <si>
    <t>3146862188</t>
  </si>
  <si>
    <t>WALUYO</t>
  </si>
  <si>
    <t>DARTIP</t>
  </si>
  <si>
    <t>RATNA SARI</t>
  </si>
  <si>
    <t>3149410691</t>
  </si>
  <si>
    <t>TA'MURI</t>
  </si>
  <si>
    <t>ROSILAH</t>
  </si>
  <si>
    <t>RIFKI HALIZAN</t>
  </si>
  <si>
    <t>3155958259</t>
  </si>
  <si>
    <t>SUPARNO</t>
  </si>
  <si>
    <t>TARI PULAPIYAH</t>
  </si>
  <si>
    <t>SHAKILA BALQIS</t>
  </si>
  <si>
    <t>3144281244</t>
  </si>
  <si>
    <t>ROIS MANTO</t>
  </si>
  <si>
    <t>SINDI MASITOH</t>
  </si>
  <si>
    <t>SYAHDAN AL KAHFI HAMIZAN</t>
  </si>
  <si>
    <t>3156663508</t>
  </si>
  <si>
    <t>SYAEPULLOH</t>
  </si>
  <si>
    <t>PRITA DIYAH SITI RESMI</t>
  </si>
  <si>
    <t>PERAWAT</t>
  </si>
  <si>
    <t>D3</t>
  </si>
  <si>
    <t>TASYA RISTIANA</t>
  </si>
  <si>
    <t>3152022199</t>
  </si>
  <si>
    <t>TASORI</t>
  </si>
  <si>
    <t>SAROPAH</t>
  </si>
  <si>
    <t>TIYA AULIYANTI</t>
  </si>
  <si>
    <t>3149373839</t>
  </si>
  <si>
    <t>RISKI ARISANDI</t>
  </si>
  <si>
    <t>WASRIYANTI</t>
  </si>
  <si>
    <t>TOMI SUNARTO PUTRA</t>
  </si>
  <si>
    <t>3153609128</t>
  </si>
  <si>
    <t>SUNARTO</t>
  </si>
  <si>
    <t>KOMARIYAH</t>
  </si>
  <si>
    <t>VIZA NAZIMA</t>
  </si>
  <si>
    <t>MUHAMAD FAKHRUROJI</t>
  </si>
  <si>
    <t>WILDAN FIKI RAMADHAN</t>
  </si>
  <si>
    <t>3149757533</t>
  </si>
  <si>
    <t>ALI MUKTI</t>
  </si>
  <si>
    <t>DIANA MURTI</t>
  </si>
  <si>
    <t>YUSUF MAULANA</t>
  </si>
  <si>
    <t>3148629632</t>
  </si>
  <si>
    <t>MAHBUB BAJURI</t>
  </si>
  <si>
    <t>MUHAROMAH</t>
  </si>
  <si>
    <t>ZULFIANA AGUSTIN</t>
  </si>
  <si>
    <t>3145022547</t>
  </si>
  <si>
    <t>ROKHIMAN</t>
  </si>
  <si>
    <t>NINA RIZKIANA</t>
  </si>
  <si>
    <t>LAKI-LAKI</t>
  </si>
  <si>
    <t>PEREMPUAN</t>
  </si>
  <si>
    <t>JUMLAH</t>
  </si>
  <si>
    <t xml:space="preserve">Mengetahui, </t>
  </si>
  <si>
    <t>Kepala SDN Kalisalak 01</t>
  </si>
  <si>
    <t>IMAMUDIN, S.Pd.SD</t>
  </si>
  <si>
    <t>NIP. 19710617 200312 1 001</t>
  </si>
  <si>
    <t>Guru Kelas II</t>
  </si>
  <si>
    <t>TEMPAT LAHIR</t>
  </si>
  <si>
    <t xml:space="preserve">AYAH </t>
  </si>
  <si>
    <t>TK</t>
  </si>
  <si>
    <t>GURU</t>
  </si>
  <si>
    <t>SOPIR</t>
  </si>
  <si>
    <t>SUDARNO</t>
  </si>
  <si>
    <t>MAR'ATI</t>
  </si>
  <si>
    <t>NURSIDIK</t>
  </si>
  <si>
    <t>KHALIMATUS SA'DIYAH</t>
  </si>
  <si>
    <t>KARSID</t>
  </si>
  <si>
    <t>KARTIKASARI</t>
  </si>
  <si>
    <t>KAYLA FEBIYAS TARI</t>
  </si>
  <si>
    <t>3141701144</t>
  </si>
  <si>
    <t>SHOHIB MARYANTO</t>
  </si>
  <si>
    <t>NURJANAH</t>
  </si>
  <si>
    <t>SUKIRNO</t>
  </si>
  <si>
    <t>DAROYAH</t>
  </si>
  <si>
    <t>BEKASI</t>
  </si>
  <si>
    <t>ENDANG</t>
  </si>
  <si>
    <t>LAELI</t>
  </si>
  <si>
    <t>3130284838</t>
  </si>
  <si>
    <t>MUHAMAD RAPKAH PRATAMA</t>
  </si>
  <si>
    <t>MOH. SOFI</t>
  </si>
  <si>
    <t>NUR HIDAYAH</t>
  </si>
  <si>
    <t>KHASAN KHARIRI</t>
  </si>
  <si>
    <t>ABDUL MUKTI MUNASIKH</t>
  </si>
  <si>
    <t>WIKE NOVIANA</t>
  </si>
  <si>
    <t>ZAMZAM KHODOMI</t>
  </si>
  <si>
    <t>ZULFIYAH ARCHAM</t>
  </si>
  <si>
    <t>JAZULI</t>
  </si>
  <si>
    <t>Karyawan Swasta</t>
  </si>
  <si>
    <t>MASKURI</t>
  </si>
  <si>
    <t>NURDEWI</t>
  </si>
  <si>
    <t>KATWANTO</t>
  </si>
  <si>
    <t>DORA YUNIASARI</t>
  </si>
  <si>
    <t>Buruh</t>
  </si>
  <si>
    <t xml:space="preserve"> </t>
  </si>
  <si>
    <t>TOMI PRIYONO</t>
  </si>
  <si>
    <t>WIDIA RIMPIARNA</t>
  </si>
  <si>
    <t>TAHIYAH</t>
  </si>
  <si>
    <t>JK</t>
  </si>
  <si>
    <t>Wiraswasta</t>
  </si>
  <si>
    <t>Guru Kelas V</t>
  </si>
  <si>
    <t>ISMI KAMALIYAH, S.Pd.</t>
  </si>
  <si>
    <t>NIP. 19941014 202012 2 002</t>
  </si>
  <si>
    <t>Guru Kelas IV</t>
  </si>
  <si>
    <t>MUHAMAD ARFI PUTRA PRATAMA</t>
  </si>
  <si>
    <t>3154769762</t>
  </si>
  <si>
    <t>BIYONO</t>
  </si>
  <si>
    <t>BELLA RESTU NINGATI</t>
  </si>
  <si>
    <t>MUHAMAD FAJAR</t>
  </si>
  <si>
    <t>3140992827</t>
  </si>
  <si>
    <t>SRI KADARWATI</t>
  </si>
  <si>
    <t>SALSA HAURA RAMADANI</t>
  </si>
  <si>
    <t>3143064009</t>
  </si>
  <si>
    <t>HARTONO</t>
  </si>
  <si>
    <t>SUSAN PURWATI</t>
  </si>
  <si>
    <t>ALIKA NAILA PUTRI</t>
  </si>
  <si>
    <t>DINI MEISYA ARYANI</t>
  </si>
  <si>
    <t>IKA TALITA RAHMADANI</t>
  </si>
  <si>
    <t>JUNAELI ARISKI SAPUTRA</t>
  </si>
  <si>
    <t>M. AKMAL YUSUF</t>
  </si>
  <si>
    <t>M. ISMA ADITIA</t>
  </si>
  <si>
    <t>MOH. ABID AQILA PRANAJA</t>
  </si>
  <si>
    <t>MUHAMAD MAULANA ADHA</t>
  </si>
  <si>
    <t>MUHAMMAD ADLI PRIYANA</t>
  </si>
  <si>
    <t>MUHAMMAD ALVATIH PRATAMA</t>
  </si>
  <si>
    <t>MUHAMMAD KEVIN SAPUTRA</t>
  </si>
  <si>
    <t>NUR'AINUN BADARIYAH</t>
  </si>
  <si>
    <t>RENDI FIRMANSYAH</t>
  </si>
  <si>
    <t>RIZQY HIKMATULOH INDRAWAN</t>
  </si>
  <si>
    <t>SANDI PEBRI ADI</t>
  </si>
  <si>
    <t>SITI FEBIANA AIRA SYAFA</t>
  </si>
  <si>
    <t>SITI JAYANTI</t>
  </si>
  <si>
    <t>SITI ZAH REEFA SEPTIANI</t>
  </si>
  <si>
    <t>REVA OKTAVIANI</t>
  </si>
  <si>
    <t>08 SEPTEMBER 2015</t>
  </si>
  <si>
    <t>29 NOVEMBER 2014</t>
  </si>
  <si>
    <t>22 SEPTEMBER 2016</t>
  </si>
  <si>
    <t>23 SEPTEMBER 2015</t>
  </si>
  <si>
    <t>27 APRIL 2015</t>
  </si>
  <si>
    <t>26 SEPTEMBER 2015</t>
  </si>
  <si>
    <t>M. TOHA (ALM)</t>
  </si>
  <si>
    <t>ASIYATI</t>
  </si>
  <si>
    <t>ABDILAH</t>
  </si>
  <si>
    <t>WAETI</t>
  </si>
  <si>
    <t>KUSREDI</t>
  </si>
  <si>
    <t>JUNTANTI</t>
  </si>
  <si>
    <t>TOBIRIN</t>
  </si>
  <si>
    <t>SINTA WIA</t>
  </si>
  <si>
    <t>KHASAN KHODORI</t>
  </si>
  <si>
    <t>TASAH</t>
  </si>
  <si>
    <t>WARDI</t>
  </si>
  <si>
    <t>KHARISAH</t>
  </si>
  <si>
    <t>MUR'RIDIN</t>
  </si>
  <si>
    <t>SUHERTI</t>
  </si>
  <si>
    <t>SUPRIYATNO</t>
  </si>
  <si>
    <t>AENAMAH</t>
  </si>
  <si>
    <t>MUSTAPID</t>
  </si>
  <si>
    <t>YUSNI ZULHAJAH</t>
  </si>
  <si>
    <t>SMIAT</t>
  </si>
  <si>
    <t>ASPURI</t>
  </si>
  <si>
    <t>NURANAH</t>
  </si>
  <si>
    <t>DIMAS MAULANA TURI</t>
  </si>
  <si>
    <t>SITI MASTUROH</t>
  </si>
  <si>
    <t>RAHMAT HIDAYAT</t>
  </si>
  <si>
    <t>MASRIPAH</t>
  </si>
  <si>
    <t>ENDANG HAMDANI</t>
  </si>
  <si>
    <t>NEVI WIRANTI</t>
  </si>
  <si>
    <t>SEPUDIN</t>
  </si>
  <si>
    <t>ROKHAYATI</t>
  </si>
  <si>
    <t>NANANG URIP</t>
  </si>
  <si>
    <t>MELI APRIYANI</t>
  </si>
  <si>
    <t>WISREM</t>
  </si>
  <si>
    <t>ACHMAD FAOZAN</t>
  </si>
  <si>
    <t>SITI HUSNATIN</t>
  </si>
  <si>
    <t>MUHAMAD ARIFIN ILHAM</t>
  </si>
  <si>
    <t>HENDRY BADRIARTO, S.Pd.</t>
  </si>
  <si>
    <t>MUHAMMAD ABID AQILA RAJENDRA</t>
  </si>
  <si>
    <t>3155780848</t>
  </si>
  <si>
    <t>KARTIKA</t>
  </si>
  <si>
    <t>DARNIWATI</t>
  </si>
  <si>
    <t>ABIKA QIRANIA AOZORA</t>
  </si>
  <si>
    <t>AFLI AL SIDQI R</t>
  </si>
  <si>
    <t>AHMAD ADAM FASLAH</t>
  </si>
  <si>
    <t>AHMAD RIO AKHSANI</t>
  </si>
  <si>
    <t>AL REZQY HASANUDIN</t>
  </si>
  <si>
    <t>ANDI IRWAN</t>
  </si>
  <si>
    <t xml:space="preserve">ANIK ARNIKA SAPUTRI </t>
  </si>
  <si>
    <t>ANNASYA PUTRI ISNAINI</t>
  </si>
  <si>
    <t>ARSY APRILI RIYANI</t>
  </si>
  <si>
    <t>AYASH ABDILLAH HADIF</t>
  </si>
  <si>
    <t>AZKA ARIF NUR ZAMAN</t>
  </si>
  <si>
    <t>DARA PUSPITA</t>
  </si>
  <si>
    <t>DIVEN FAJAR ARDIANSYAH</t>
  </si>
  <si>
    <t>FAJAR AL GHIFARI</t>
  </si>
  <si>
    <t>HESTI NEHIA</t>
  </si>
  <si>
    <t>JIHAN TRI AYUNDA H.</t>
  </si>
  <si>
    <t>JUNISAH</t>
  </si>
  <si>
    <t>KHOERUL RIZI AKBAR</t>
  </si>
  <si>
    <t xml:space="preserve">M. AFIK NUR AZIZ </t>
  </si>
  <si>
    <t>M. DEVAN AL WIANSYAH</t>
  </si>
  <si>
    <t>M. FURQON AL AFGANI</t>
  </si>
  <si>
    <t>M. RIZKI SETIAWAN</t>
  </si>
  <si>
    <t>MOH. DHAFA SAPUTRA</t>
  </si>
  <si>
    <t>MUHAMMAD AZKA ADZANI</t>
  </si>
  <si>
    <t>MUHAMMAD YUDHA PRATAMA</t>
  </si>
  <si>
    <t>NADIRA THAFANA ALINDRA</t>
  </si>
  <si>
    <t>NAJWA SYIFA ANINDA</t>
  </si>
  <si>
    <t>NAZMA DWI THISIKA</t>
  </si>
  <si>
    <t>PUTRA SETIAWAN</t>
  </si>
  <si>
    <t>RAVI NIZAR MAFAZA</t>
  </si>
  <si>
    <t>RAYA FITRIYANI</t>
  </si>
  <si>
    <t>RIRIN DWI NOVITA</t>
  </si>
  <si>
    <t>RIZKIA DWI FITRI</t>
  </si>
  <si>
    <t>SAEFUL ANAM</t>
  </si>
  <si>
    <t>SALMAN AL FARIZI</t>
  </si>
  <si>
    <t>SHAQILA AZMI LATIFAH</t>
  </si>
  <si>
    <t>SITI NURUL AISYAH</t>
  </si>
  <si>
    <t>ZAHWA AFIQAH PUTRI</t>
  </si>
  <si>
    <t>AKHMAD NUROJI</t>
  </si>
  <si>
    <t>ITA FELA ASTALIA</t>
  </si>
  <si>
    <t>RASNO</t>
  </si>
  <si>
    <t>MUKHAROMAH</t>
  </si>
  <si>
    <t>SEKHULI</t>
  </si>
  <si>
    <t>TUTI HERAWATI</t>
  </si>
  <si>
    <t>RIHARJO</t>
  </si>
  <si>
    <t>ANI SURYANI</t>
  </si>
  <si>
    <t>HASANUDDIN</t>
  </si>
  <si>
    <t>ANIS PURWATI</t>
  </si>
  <si>
    <t>KARY.SWASTA</t>
  </si>
  <si>
    <t>RAJIMIN</t>
  </si>
  <si>
    <t>WAKHYUDIN</t>
  </si>
  <si>
    <t>SITI SAPUROH</t>
  </si>
  <si>
    <t>M.ROJIKHI</t>
  </si>
  <si>
    <t>FERDA JESICA</t>
  </si>
  <si>
    <t>RIANTO</t>
  </si>
  <si>
    <t>KRISNA MEI RIYANI</t>
  </si>
  <si>
    <t>HERI SUSWANTO</t>
  </si>
  <si>
    <t>AYU SARTIKA</t>
  </si>
  <si>
    <t>JAHRONI</t>
  </si>
  <si>
    <t>SITI TASRIAH</t>
  </si>
  <si>
    <t>ROJIKHI</t>
  </si>
  <si>
    <t>SUDIAH</t>
  </si>
  <si>
    <t>ANGGAR PRIYANTO</t>
  </si>
  <si>
    <t>ANI RISKAWATI</t>
  </si>
  <si>
    <t>FAKIH RIZAL</t>
  </si>
  <si>
    <t>RANTIKA SARI</t>
  </si>
  <si>
    <t>JAMALI</t>
  </si>
  <si>
    <t>YANI YUSWANTI</t>
  </si>
  <si>
    <t>KARY.BUMN</t>
  </si>
  <si>
    <t>AHMAD FUJI</t>
  </si>
  <si>
    <t>TARI AGUSTINA</t>
  </si>
  <si>
    <t>EDI SUSANTO</t>
  </si>
  <si>
    <t>HERI PUJI ASTUTI</t>
  </si>
  <si>
    <t>ROKHILI</t>
  </si>
  <si>
    <t>SITI MUKAROMAH</t>
  </si>
  <si>
    <t>NURSALIM</t>
  </si>
  <si>
    <t>SITI AZIZAH</t>
  </si>
  <si>
    <t xml:space="preserve">SLTA </t>
  </si>
  <si>
    <t>SAMSUDIN</t>
  </si>
  <si>
    <t>DEWI KURNIASIH</t>
  </si>
  <si>
    <t>BAYU  HERMAWAN</t>
  </si>
  <si>
    <t>SULASTRI</t>
  </si>
  <si>
    <t>AGUS SUMADI</t>
  </si>
  <si>
    <t>SITI ATNAH</t>
  </si>
  <si>
    <t>SURURI</t>
  </si>
  <si>
    <t>SITI RAHAYU</t>
  </si>
  <si>
    <t>JUNAEDI</t>
  </si>
  <si>
    <t>DINA RIA NINGSIH</t>
  </si>
  <si>
    <t>KARY,SWASTA</t>
  </si>
  <si>
    <t>MOCHAMMAD .R</t>
  </si>
  <si>
    <t>WARYUNI</t>
  </si>
  <si>
    <t>SUHENDRA</t>
  </si>
  <si>
    <t>OKTA LINA SUMIARNI</t>
  </si>
  <si>
    <t>ABDUL MUIS</t>
  </si>
  <si>
    <t>ERNIASIH</t>
  </si>
  <si>
    <t>TUKHORI</t>
  </si>
  <si>
    <t>KHUNAENAH</t>
  </si>
  <si>
    <t>SITI MAYA</t>
  </si>
  <si>
    <t>MAULANA JUMRONI</t>
  </si>
  <si>
    <t>MAMURI</t>
  </si>
  <si>
    <t>INAYATUL AENI</t>
  </si>
  <si>
    <t>DASORI</t>
  </si>
  <si>
    <t>SUSANTI</t>
  </si>
  <si>
    <t xml:space="preserve">BURUH </t>
  </si>
  <si>
    <t>NANANG KHUDORI</t>
  </si>
  <si>
    <t>ENDANG ELI PURWANTI</t>
  </si>
  <si>
    <t>DEDI SISWANTO</t>
  </si>
  <si>
    <t>SANTI SARTIKA</t>
  </si>
  <si>
    <t>WAMANUDIN</t>
  </si>
  <si>
    <t>WIWIN RIYANI</t>
  </si>
  <si>
    <t>PETANI</t>
  </si>
  <si>
    <t>TOLANI</t>
  </si>
  <si>
    <t>SITI WINTASARI</t>
  </si>
  <si>
    <t>FALIH NABHAN MUSYAFFA</t>
  </si>
  <si>
    <t>ALESHA FAIHA SELOWITA</t>
  </si>
  <si>
    <t>TANGERANG</t>
  </si>
  <si>
    <t>MULYADI</t>
  </si>
  <si>
    <t>WASLIKHA</t>
  </si>
  <si>
    <t>SITI MARIA ULFAH, S.Pd.</t>
  </si>
  <si>
    <t>AHMAD AZRIL ALFARIQ</t>
  </si>
  <si>
    <t>AHMAD MARWAN</t>
  </si>
  <si>
    <t>AISYAH ATTA ZAHIRA</t>
  </si>
  <si>
    <t>ALIA RAMADHANI</t>
  </si>
  <si>
    <t>ALWI ALFATIH</t>
  </si>
  <si>
    <t>AQILA NAYLA PUTRI</t>
  </si>
  <si>
    <t>AQILAH AYU SANTOSO</t>
  </si>
  <si>
    <t>ARFAN ATHAFARIS AWWAB</t>
  </si>
  <si>
    <t>ARRAFIF FATHUL ISLAM</t>
  </si>
  <si>
    <t>AYRA NUR SAFITRI</t>
  </si>
  <si>
    <t>CAHAYA SALSABILA GUNAWAN</t>
  </si>
  <si>
    <t>FATIMAH</t>
  </si>
  <si>
    <t>FIRDHAN ZAKIRUL HAFIZH</t>
  </si>
  <si>
    <t>HAFIZ HIDAYATUL PRATAMA</t>
  </si>
  <si>
    <t>HILWA HANUM IMANDA</t>
  </si>
  <si>
    <t>KHANIFAH ALMAHIRA</t>
  </si>
  <si>
    <t>KHARISMATUL KHUSNA</t>
  </si>
  <si>
    <t>M. GILANG ALFARIZI</t>
  </si>
  <si>
    <t>M. IKBAL AJI SAPUTRA</t>
  </si>
  <si>
    <t>M. DAFFIAN DZIKRI AL HAFIDZ</t>
  </si>
  <si>
    <t>MOHAMAD AMIRUL ARIF</t>
  </si>
  <si>
    <t>ADIVA EVRILLYANI ASPURI</t>
  </si>
  <si>
    <t>AINAYYA FATHIYYATURAHMA</t>
  </si>
  <si>
    <t>ALEXA VELOVIE RAMADHANI</t>
  </si>
  <si>
    <t>FATTIYA TURAHMA</t>
  </si>
  <si>
    <t>MOH.ARBIAN SANDYA</t>
  </si>
  <si>
    <t>MOHAMAD RAMADHANI</t>
  </si>
  <si>
    <t>MOHAMMAD HAIDAR NASHIH</t>
  </si>
  <si>
    <t>MUCHAMAD RADEN ALFATIKH</t>
  </si>
  <si>
    <t>MUHAMMAD FAJRI ARDIANSYAH</t>
  </si>
  <si>
    <t>MUHAMMAD JAWAD AL HAKIM</t>
  </si>
  <si>
    <t>MUHAMMAD VAREN IRAWAN</t>
  </si>
  <si>
    <t>NAIRA SHIDKIA RAMADHANI</t>
  </si>
  <si>
    <t>NASYA AYU SEPTIANI</t>
  </si>
  <si>
    <t>NAZMA SYAFA ALISYA</t>
  </si>
  <si>
    <t>RARA PUTRI DIANA</t>
  </si>
  <si>
    <t>RIFKI ADITYA</t>
  </si>
  <si>
    <t>SALMA NISYABILA PUTRI</t>
  </si>
  <si>
    <t>SALSABILA ROHADATUL AISY</t>
  </si>
  <si>
    <t>SHALUNA ZAZKIA FITRI</t>
  </si>
  <si>
    <t>TALITA MAYASARI</t>
  </si>
  <si>
    <t>TSAMARA AINAYYA HASNA</t>
  </si>
  <si>
    <t>ZULAIKHA AYUNINDIA INARA</t>
  </si>
  <si>
    <t>3182214197</t>
  </si>
  <si>
    <t>3175172541</t>
  </si>
  <si>
    <t>3178825420</t>
  </si>
  <si>
    <t>3189859809</t>
  </si>
  <si>
    <t>3175829258</t>
  </si>
  <si>
    <t>3186825350</t>
  </si>
  <si>
    <t>3179055670</t>
  </si>
  <si>
    <t>3178407243</t>
  </si>
  <si>
    <t>3183360479</t>
  </si>
  <si>
    <t>3186804245</t>
  </si>
  <si>
    <t>3170970786</t>
  </si>
  <si>
    <t>3181391992</t>
  </si>
  <si>
    <t>3189673900</t>
  </si>
  <si>
    <t>3170370218</t>
  </si>
  <si>
    <t>3180022038</t>
  </si>
  <si>
    <t>3184531653</t>
  </si>
  <si>
    <t>3188617238</t>
  </si>
  <si>
    <t>3188646668</t>
  </si>
  <si>
    <t>3182560294</t>
  </si>
  <si>
    <t>3182321444</t>
  </si>
  <si>
    <t>3178147123</t>
  </si>
  <si>
    <t>3181488106</t>
  </si>
  <si>
    <t>3175719425</t>
  </si>
  <si>
    <t>3170254958</t>
  </si>
  <si>
    <t>3170889635</t>
  </si>
  <si>
    <t>3171841464</t>
  </si>
  <si>
    <t>3176339919</t>
  </si>
  <si>
    <t>3184666176</t>
  </si>
  <si>
    <t>3176889915</t>
  </si>
  <si>
    <t>3178770732</t>
  </si>
  <si>
    <t>3170680472</t>
  </si>
  <si>
    <t>3181053243</t>
  </si>
  <si>
    <t>3182774538</t>
  </si>
  <si>
    <t>3179075511</t>
  </si>
  <si>
    <t>3182908580</t>
  </si>
  <si>
    <t>3173417169</t>
  </si>
  <si>
    <t>3183325570</t>
  </si>
  <si>
    <t>3181071978</t>
  </si>
  <si>
    <t>3186227421</t>
  </si>
  <si>
    <t>3180948453</t>
  </si>
  <si>
    <t>3181728719</t>
  </si>
  <si>
    <t>3181825894</t>
  </si>
  <si>
    <t>SLAMET ASPURI</t>
  </si>
  <si>
    <t>AHMAD ALIMUDIN</t>
  </si>
  <si>
    <t>IMAM KHUSNI - ALM)</t>
  </si>
  <si>
    <t>MUCHAMAD MUNADOM</t>
  </si>
  <si>
    <t>MOH. SANTOSO</t>
  </si>
  <si>
    <t>BRAWIJAYA SURITNO</t>
  </si>
  <si>
    <t>BUDI SANTOSO</t>
  </si>
  <si>
    <t>SUHERMAN</t>
  </si>
  <si>
    <t>ATOM</t>
  </si>
  <si>
    <t>EDI GUNAWAN</t>
  </si>
  <si>
    <t>PRIYANDI</t>
  </si>
  <si>
    <t>WAHRODI</t>
  </si>
  <si>
    <t>IMAM BUDIARTO</t>
  </si>
  <si>
    <t>IMAM MUSLIH</t>
  </si>
  <si>
    <t>FATULLOH</t>
  </si>
  <si>
    <t>NANANG SAURIP</t>
  </si>
  <si>
    <t>EKO</t>
  </si>
  <si>
    <t>AJI INDRAWAN</t>
  </si>
  <si>
    <t>ALI SAMSUDIN</t>
  </si>
  <si>
    <t>SUSWANTO</t>
  </si>
  <si>
    <t>KHERYANTO</t>
  </si>
  <si>
    <t>SURYANA</t>
  </si>
  <si>
    <t>WENDY SUPRIYATNO</t>
  </si>
  <si>
    <t>TUSLIM</t>
  </si>
  <si>
    <t>ALI SUBKHI</t>
  </si>
  <si>
    <t>MOH.BAMBANG SUGIARTO</t>
  </si>
  <si>
    <t>KHOMAENI</t>
  </si>
  <si>
    <t>SUPRAPTO</t>
  </si>
  <si>
    <t>AGUS MASRIYANTO</t>
  </si>
  <si>
    <t>SUDARMONO</t>
  </si>
  <si>
    <t>IMAM ASYARI</t>
  </si>
  <si>
    <t>AGUS RUSTON</t>
  </si>
  <si>
    <t>KARYANI</t>
  </si>
  <si>
    <t>ISTIKOMAH</t>
  </si>
  <si>
    <t>YANI</t>
  </si>
  <si>
    <t>JUWERIYAH</t>
  </si>
  <si>
    <t>RETNO DWI PURNOMO</t>
  </si>
  <si>
    <t>SITI SULASIH</t>
  </si>
  <si>
    <t>LASMI NURHAYATI</t>
  </si>
  <si>
    <t>MILIESIH</t>
  </si>
  <si>
    <t>DADAH JUBAEDAH</t>
  </si>
  <si>
    <t>NURHIDAYATUN</t>
  </si>
  <si>
    <t>TUTI ERNI</t>
  </si>
  <si>
    <t>ANIS SETIAWATI</t>
  </si>
  <si>
    <t>INAYATUL MAESAROH</t>
  </si>
  <si>
    <t>ENDANG FARIDAH</t>
  </si>
  <si>
    <t>SITI ROHMI</t>
  </si>
  <si>
    <t>SAIROH</t>
  </si>
  <si>
    <t>SUPRIATIN</t>
  </si>
  <si>
    <t>ENDANG PURNIANI</t>
  </si>
  <si>
    <t>INDAH PERMATASARI</t>
  </si>
  <si>
    <t>LENI FITRIYANI</t>
  </si>
  <si>
    <t>SITI ROHAENI</t>
  </si>
  <si>
    <t>SUYATI</t>
  </si>
  <si>
    <t>ENDANG CAHYANI</t>
  </si>
  <si>
    <t>DEWI RAHMAWATI</t>
  </si>
  <si>
    <t>SITI LISPRI</t>
  </si>
  <si>
    <t>SITI MASWATI</t>
  </si>
  <si>
    <t>DINI</t>
  </si>
  <si>
    <t>AENA NURUL LISYANTI</t>
  </si>
  <si>
    <t>SANTI RIYANAH</t>
  </si>
  <si>
    <t>SUNAETI</t>
  </si>
  <si>
    <t>DIANA RATNA SARI</t>
  </si>
  <si>
    <t>ASTRI ANISNAENI</t>
  </si>
  <si>
    <t>KANIBAH</t>
  </si>
  <si>
    <t>WAHYUNINGSIH</t>
  </si>
  <si>
    <t>DELA MAYASARI</t>
  </si>
  <si>
    <t>MUNAYAH</t>
  </si>
  <si>
    <t>Sudah Meninggal</t>
  </si>
  <si>
    <t>Pedagang Kecil</t>
  </si>
  <si>
    <t>Lainnya</t>
  </si>
  <si>
    <t>Pedagang Besar</t>
  </si>
  <si>
    <t>Petani</t>
  </si>
  <si>
    <t>Tidak bekerja</t>
  </si>
  <si>
    <t>SMP / sederajat</t>
  </si>
  <si>
    <t>SD / sederajat</t>
  </si>
  <si>
    <t>Tidak sekolah</t>
  </si>
  <si>
    <t>SMA / sederajat</t>
  </si>
  <si>
    <t>3176925911</t>
  </si>
  <si>
    <t>3163543399</t>
  </si>
  <si>
    <t>3172933946</t>
  </si>
  <si>
    <t>3163005423</t>
  </si>
  <si>
    <t>3163238222</t>
  </si>
  <si>
    <t>3131338705</t>
  </si>
  <si>
    <t>3179872335</t>
  </si>
  <si>
    <t>3171507617</t>
  </si>
  <si>
    <t>3166772028</t>
  </si>
  <si>
    <t>3163001712</t>
  </si>
  <si>
    <t>3176149065</t>
  </si>
  <si>
    <t>3174463403</t>
  </si>
  <si>
    <t>3179852539</t>
  </si>
  <si>
    <t>3179644139</t>
  </si>
  <si>
    <t>3175186128</t>
  </si>
  <si>
    <t>3168641279</t>
  </si>
  <si>
    <t>3170963103</t>
  </si>
  <si>
    <t>3178348117</t>
  </si>
  <si>
    <t>3177729779</t>
  </si>
  <si>
    <t>3167117420</t>
  </si>
  <si>
    <t>3179998206</t>
  </si>
  <si>
    <t>3161615486</t>
  </si>
  <si>
    <t>3174573238</t>
  </si>
  <si>
    <t>3179211358</t>
  </si>
  <si>
    <t>3170672737</t>
  </si>
  <si>
    <t>3167927430</t>
  </si>
  <si>
    <t>3166994396</t>
  </si>
  <si>
    <t>0174187463</t>
  </si>
  <si>
    <t>3169369877</t>
  </si>
  <si>
    <t>3167943232</t>
  </si>
  <si>
    <t>3164190240</t>
  </si>
  <si>
    <t>3151924654</t>
  </si>
  <si>
    <t>3128197621</t>
  </si>
  <si>
    <t>3164265117</t>
  </si>
  <si>
    <t>3176516320</t>
  </si>
  <si>
    <t>3160655531</t>
  </si>
  <si>
    <t>MUHAMMAD ZAKI ARDIANSYAH</t>
  </si>
  <si>
    <t>ABIZAR MUMTAZ ALFARIZI</t>
  </si>
  <si>
    <t>MOH. REVAL SETIAWAN</t>
  </si>
  <si>
    <t>Guru Kelas I</t>
  </si>
  <si>
    <t>SANTI ANGGRAENI, S.Pd.SD</t>
  </si>
  <si>
    <t>NIP. 19731224 202321 2 003</t>
  </si>
  <si>
    <t>TAHUN PELAJARAN 2025/2026</t>
  </si>
  <si>
    <t>NIP. 19901115 202521 2 036</t>
  </si>
  <si>
    <t>DAFTAR PESERTA DIDIK KELAS V</t>
  </si>
  <si>
    <t>VIRNA APRILLIA AZIZAH</t>
  </si>
  <si>
    <t>3142427061</t>
  </si>
  <si>
    <t>RISTIANAH</t>
  </si>
  <si>
    <t>VIRNI APRILLIA AZIZAH</t>
  </si>
  <si>
    <t>3145816859</t>
  </si>
  <si>
    <t>Jakarta</t>
  </si>
  <si>
    <t>Mochammad Romadhon</t>
  </si>
  <si>
    <t>Waryuni</t>
  </si>
  <si>
    <t>Moh. Sopiandi</t>
  </si>
  <si>
    <t>Eli Irmawati</t>
  </si>
  <si>
    <t>Tegal</t>
  </si>
  <si>
    <t>Fudurul Aziz</t>
  </si>
  <si>
    <t>Wanda Priyani</t>
  </si>
  <si>
    <t>Samsudin</t>
  </si>
  <si>
    <t>Wamroati</t>
  </si>
  <si>
    <t>Pedagang</t>
  </si>
  <si>
    <t>Diki Subekhi</t>
  </si>
  <si>
    <t>Nofita Rokhiliyah</t>
  </si>
  <si>
    <t>Wawan Setiawan</t>
  </si>
  <si>
    <t>Siti Mahfiroh</t>
  </si>
  <si>
    <t>Sumarto</t>
  </si>
  <si>
    <t>Siti Muayanah</t>
  </si>
  <si>
    <t>Nurjanah</t>
  </si>
  <si>
    <t>Akhmad Rizal</t>
  </si>
  <si>
    <t>Lisnawati</t>
  </si>
  <si>
    <t>Ernawati</t>
  </si>
  <si>
    <t>Wakhyudin</t>
  </si>
  <si>
    <t>Siti Sapuroh</t>
  </si>
  <si>
    <t>Anton Mulyono</t>
  </si>
  <si>
    <t>Daroyah</t>
  </si>
  <si>
    <t>Hartono</t>
  </si>
  <si>
    <t>Susan Purwati</t>
  </si>
  <si>
    <t>Zepri Ariyanto</t>
  </si>
  <si>
    <t>Winda Astuti</t>
  </si>
  <si>
    <t>Maofuri</t>
  </si>
  <si>
    <t>Ma'ripah</t>
  </si>
  <si>
    <t>Suprihadi</t>
  </si>
  <si>
    <t>Toatin</t>
  </si>
  <si>
    <t>Diploma</t>
  </si>
  <si>
    <t xml:space="preserve">Reno </t>
  </si>
  <si>
    <t>Arum Sari</t>
  </si>
  <si>
    <t>Yusnia</t>
  </si>
  <si>
    <t>Syeh Mukhidin</t>
  </si>
  <si>
    <t>Nopitasari</t>
  </si>
  <si>
    <t>Sukanta</t>
  </si>
  <si>
    <t>Siti Nurjanah</t>
  </si>
  <si>
    <t>Roni</t>
  </si>
  <si>
    <t>Sumiati</t>
  </si>
  <si>
    <t>Tanuri</t>
  </si>
  <si>
    <t>Samsiah</t>
  </si>
  <si>
    <t>Waryati</t>
  </si>
  <si>
    <t>Tugimin</t>
  </si>
  <si>
    <t>Kesih</t>
  </si>
  <si>
    <t>Sutrisno</t>
  </si>
  <si>
    <t>Siti Rianti</t>
  </si>
  <si>
    <t>Bahru Zaman</t>
  </si>
  <si>
    <t>Yuli Astuti</t>
  </si>
  <si>
    <t>SYIFA SEPTIYANI FAUZIAH, S.Pd.</t>
  </si>
  <si>
    <t>MUHAMMAD RAGIL MI'ROJI</t>
  </si>
  <si>
    <t>0144151480</t>
  </si>
  <si>
    <t>BANDUNG</t>
  </si>
  <si>
    <t>3153973294</t>
  </si>
  <si>
    <t>3159135097</t>
  </si>
  <si>
    <t>3162460413</t>
  </si>
  <si>
    <t>3141582520</t>
  </si>
  <si>
    <t>3166806957</t>
  </si>
  <si>
    <t>3152638106</t>
  </si>
  <si>
    <t>3163583076</t>
  </si>
  <si>
    <t>3153192399</t>
  </si>
  <si>
    <t>3166319829</t>
  </si>
  <si>
    <t>3158395823</t>
  </si>
  <si>
    <t>3160472730</t>
  </si>
  <si>
    <t>3156701895</t>
  </si>
  <si>
    <t>3158996712</t>
  </si>
  <si>
    <t>3154700762</t>
  </si>
  <si>
    <t>3152189085</t>
  </si>
  <si>
    <t>3158080809</t>
  </si>
  <si>
    <t>3163702173</t>
  </si>
  <si>
    <t>3156717400</t>
  </si>
  <si>
    <t>3150782348</t>
  </si>
  <si>
    <t>3150669313</t>
  </si>
  <si>
    <t>3167269901</t>
  </si>
  <si>
    <t>PUANAH</t>
  </si>
  <si>
    <t>19 Mei 2014</t>
  </si>
  <si>
    <t>11 Tahun, 5 Bulan</t>
  </si>
  <si>
    <t>NIK</t>
  </si>
  <si>
    <t>3328010908180003</t>
  </si>
  <si>
    <t>3328012906180001</t>
  </si>
  <si>
    <t>3328016202190001</t>
  </si>
  <si>
    <t>3328014802190001</t>
  </si>
  <si>
    <t>3328016105190005</t>
  </si>
  <si>
    <t>3175070304190005</t>
  </si>
  <si>
    <t>3328014210180002</t>
  </si>
  <si>
    <t>3328010601190002</t>
  </si>
  <si>
    <t>3175024910180003</t>
  </si>
  <si>
    <t>3328016609180005</t>
  </si>
  <si>
    <t>3328014604180006</t>
  </si>
  <si>
    <t>3328017110190001</t>
  </si>
  <si>
    <t>3328014704190003</t>
  </si>
  <si>
    <t>3328010304180003</t>
  </si>
  <si>
    <t>3328010802180003</t>
  </si>
  <si>
    <t>3328010807180004</t>
  </si>
  <si>
    <t>3328014803190005</t>
  </si>
  <si>
    <t>3328011703190004</t>
  </si>
  <si>
    <t>3328013004180003</t>
  </si>
  <si>
    <t>3328012511170002</t>
  </si>
  <si>
    <t>3328012011170002</t>
  </si>
  <si>
    <t>3328010906190004</t>
  </si>
  <si>
    <t>3328012908180001</t>
  </si>
  <si>
    <t>3328011006180003</t>
  </si>
  <si>
    <t>3328011712240001</t>
  </si>
  <si>
    <t>3328010410220003</t>
  </si>
  <si>
    <t>3328015111180002</t>
  </si>
  <si>
    <t>3328015203190004</t>
  </si>
  <si>
    <t>3328012605240004</t>
  </si>
  <si>
    <t>3328016304190004</t>
  </si>
  <si>
    <t>3328011307190004</t>
  </si>
  <si>
    <t>Dede Rio</t>
  </si>
  <si>
    <t>Budi Haryanto</t>
  </si>
  <si>
    <t>Warnoto</t>
  </si>
  <si>
    <t>Abdul Khanan</t>
  </si>
  <si>
    <t>Eis Maemunah</t>
  </si>
  <si>
    <t>Mar'ati</t>
  </si>
  <si>
    <t>Susuilohwati</t>
  </si>
  <si>
    <t>Rokhimah</t>
  </si>
  <si>
    <t>Shelpiani</t>
  </si>
  <si>
    <t>Intan Permatasari</t>
  </si>
  <si>
    <t>3181571403</t>
  </si>
  <si>
    <t>3183123462</t>
  </si>
  <si>
    <t>3193485376</t>
  </si>
  <si>
    <t>3199688695</t>
  </si>
  <si>
    <t>3195743164</t>
  </si>
  <si>
    <t>3192681581</t>
  </si>
  <si>
    <t>ADFIN LOIN PRATAMA</t>
  </si>
  <si>
    <t>AFSHI MAULA AZAHRA</t>
  </si>
  <si>
    <t>AHMAD UMAY REZA SAPUTRA</t>
  </si>
  <si>
    <t>AINUN SHAKILA FEBRIANI</t>
  </si>
  <si>
    <t>AISYAH NUSAIBAH ABDULLAH</t>
  </si>
  <si>
    <t>AKHTAR ZIDANE PRADITA</t>
  </si>
  <si>
    <t>AKIFA NAILA</t>
  </si>
  <si>
    <t>ALZAN ATHAR HAMIZAN</t>
  </si>
  <si>
    <t>ARSY OKTAVIANI</t>
  </si>
  <si>
    <t>DEA LESTARI</t>
  </si>
  <si>
    <t>HILDA APRILIANI</t>
  </si>
  <si>
    <t>KAHYANG OKTA ANGGRAINI</t>
  </si>
  <si>
    <t>KANAYATUL MARYAM</t>
  </si>
  <si>
    <t>KHAERUL MIZWAN</t>
  </si>
  <si>
    <t>M.NAZRIL MAULANA YUSUP</t>
  </si>
  <si>
    <t xml:space="preserve">MEDINA HADI SHAFIRA </t>
  </si>
  <si>
    <t>MOHAMAD JAKA BILAL IBRAHIM</t>
  </si>
  <si>
    <t>MOH. ERWIN AL KHASBI</t>
  </si>
  <si>
    <t>MUHAMAD ARSA MAULANA</t>
  </si>
  <si>
    <t>MUHAMAD ARYA MAOLANA</t>
  </si>
  <si>
    <t>MUHAMMAD FAQIH SYAPUTRA</t>
  </si>
  <si>
    <t>MUHAMAD AL AQSO</t>
  </si>
  <si>
    <t>MUHAMMAD ABDUL MUIZ</t>
  </si>
  <si>
    <t>MUHAMMAD KEANU</t>
  </si>
  <si>
    <t>NESYA KARTIKA DEWI</t>
  </si>
  <si>
    <t>RANIA NOVA PUTRI</t>
  </si>
  <si>
    <t>RANIA RAMADANI</t>
  </si>
  <si>
    <t>SITI ALIFAH NAZIRA</t>
  </si>
  <si>
    <t>SITI AYU SALU</t>
  </si>
  <si>
    <t>WAFI ILHAM MULYONO</t>
  </si>
  <si>
    <t>3328016602190004</t>
  </si>
  <si>
    <t>AISYAH SHIDQIA RAMADHANI</t>
  </si>
  <si>
    <t>M. HAFIDZ ARIANSYAH</t>
  </si>
  <si>
    <t>IMAM BIQI</t>
  </si>
  <si>
    <t>TB</t>
  </si>
  <si>
    <t>BB</t>
  </si>
  <si>
    <t>3153852370</t>
  </si>
  <si>
    <t>NO. KK</t>
  </si>
  <si>
    <t>KHALISA SYAFA FARADINA</t>
  </si>
  <si>
    <t>3194771379</t>
  </si>
  <si>
    <t>3328016812190003</t>
  </si>
  <si>
    <t>3328012402081733</t>
  </si>
  <si>
    <t>PATROTUN</t>
  </si>
  <si>
    <t>MOH. AFNAN MAULANA NAFI</t>
  </si>
  <si>
    <t>ALTHAF BILAL ALFAJRI</t>
  </si>
  <si>
    <t>ANINDYA TASKIA ADZANI</t>
  </si>
  <si>
    <t>FAHRI HADI SAPUTRA</t>
  </si>
  <si>
    <t>MUHAMMAD MUSTOPA AL FATHIR</t>
  </si>
  <si>
    <t>AFHDALDIANSYAH DWI PUTRA</t>
  </si>
  <si>
    <t>ANNASYA KEYLA AURISKA</t>
  </si>
  <si>
    <t>ASHEEQA ZANUBA QAILLA</t>
  </si>
  <si>
    <t>ECCA SALIMA SALSABILA</t>
  </si>
  <si>
    <t>ATHA HAFIZH ALFARIZY</t>
  </si>
  <si>
    <t>ATHA FARIZ RADEYA FADHIL</t>
  </si>
  <si>
    <t>MUHAMMAD HADI WIJAYA</t>
  </si>
  <si>
    <t>M.HAZBI AZ ZUHRI</t>
  </si>
  <si>
    <t>IQBAL SYABIL ARDANI</t>
  </si>
  <si>
    <t>MUHAMAD FARZAN WIJAYA</t>
  </si>
  <si>
    <t>JASMIN FITRIA</t>
  </si>
  <si>
    <t>SITI KAROMAH</t>
  </si>
  <si>
    <t>KEN MUSFIYA</t>
  </si>
  <si>
    <t>MEGA DWI RAHMADHANIA</t>
  </si>
  <si>
    <t>QIANDRA FATIMAH AZZAHRA</t>
  </si>
  <si>
    <t>RANDI IRAWAN</t>
  </si>
  <si>
    <t>MUH. RAYYAN ATTAR ISMAIL</t>
  </si>
  <si>
    <t>MUHAMMAD RAYYAN SETIAWAN</t>
  </si>
  <si>
    <t>SYAKILA ANNASHWA</t>
  </si>
  <si>
    <t>TIFFANI ULUL ILMA</t>
  </si>
  <si>
    <t>NABIL SUGIANTO</t>
  </si>
  <si>
    <t>KABUPATEN TEGAL</t>
  </si>
  <si>
    <t>3202453855</t>
  </si>
  <si>
    <t>3194151904</t>
  </si>
  <si>
    <t>3202289534</t>
  </si>
  <si>
    <t>3200834305</t>
  </si>
  <si>
    <t>3197467408</t>
  </si>
  <si>
    <t>3197173636</t>
  </si>
  <si>
    <t>3208367343</t>
  </si>
  <si>
    <t>3198957961</t>
  </si>
  <si>
    <t>3190087616</t>
  </si>
  <si>
    <t>3199484541</t>
  </si>
  <si>
    <t>3209949214</t>
  </si>
  <si>
    <t>3198413391</t>
  </si>
  <si>
    <t>3207971060</t>
  </si>
  <si>
    <t>3203636688</t>
  </si>
  <si>
    <t>3190453216</t>
  </si>
  <si>
    <t>3191490105</t>
  </si>
  <si>
    <t>3195490894</t>
  </si>
  <si>
    <t>3199314325</t>
  </si>
  <si>
    <t>ARKA ARDIANTO</t>
  </si>
  <si>
    <t>MOHAMMAD ASSYAUKI RISAN AL WALID</t>
  </si>
  <si>
    <t>IZZAN ARIF MAHENDRA</t>
  </si>
  <si>
    <t>MEISYA ANDINA PUTRI</t>
  </si>
  <si>
    <t>SULTAN RIZKI RAMADHAN</t>
  </si>
  <si>
    <t>MUHAMMAD ADNAN MAULID HABIBI</t>
  </si>
  <si>
    <t>3328010811190003</t>
  </si>
  <si>
    <t>TK TAUD AROFAH</t>
  </si>
  <si>
    <t>3328015010190003</t>
  </si>
  <si>
    <t>3328010502150010</t>
  </si>
  <si>
    <t>HENDRY BADRIARTO</t>
  </si>
  <si>
    <t>SITI MARIA ULFAH</t>
  </si>
  <si>
    <t>3328015505200005</t>
  </si>
  <si>
    <t>3328012709190002</t>
  </si>
  <si>
    <t>SUKERI</t>
  </si>
  <si>
    <t>DEWI ANGGRAENI</t>
  </si>
  <si>
    <t>3328011601150017</t>
  </si>
  <si>
    <t>3328010102190005</t>
  </si>
  <si>
    <t>IBNU MAULANA</t>
  </si>
  <si>
    <t>SITI KURNAESIH</t>
  </si>
  <si>
    <t>RA Muslimat NU Masyitoh</t>
  </si>
  <si>
    <t>3328011104200001</t>
  </si>
  <si>
    <t>3328011702110136</t>
  </si>
  <si>
    <t>KAMRONI</t>
  </si>
  <si>
    <t>MASRUROH</t>
  </si>
  <si>
    <t>TK KEMALA BHAYANGKARI 26 MARGASARI</t>
  </si>
  <si>
    <t>3328011609160007</t>
  </si>
  <si>
    <t>3328016812190005</t>
  </si>
  <si>
    <t>3328016704190003</t>
  </si>
  <si>
    <t>3328010712190001</t>
  </si>
  <si>
    <t>Kalisalak, 13 Juli 2026</t>
  </si>
  <si>
    <t xml:space="preserve">NIP. </t>
  </si>
  <si>
    <t>RETNO AMALIA, S.Pd.</t>
  </si>
  <si>
    <t>TIKA SARI</t>
  </si>
  <si>
    <t>BENI NYAPI YUNE</t>
  </si>
  <si>
    <t>TRI ANGGI JAYANI</t>
  </si>
  <si>
    <t>JAYANTI</t>
  </si>
  <si>
    <t>LAELATUNNISA</t>
  </si>
  <si>
    <t>TATI ISMAWATI</t>
  </si>
  <si>
    <t>SITI SUPARMI</t>
  </si>
  <si>
    <t>SITI NAIMAH</t>
  </si>
  <si>
    <t>SITI MIRNA SARI</t>
  </si>
  <si>
    <t>SITI MASITOH</t>
  </si>
  <si>
    <t>SITI UUN UNAWATI</t>
  </si>
  <si>
    <t>SITI AISAH</t>
  </si>
  <si>
    <t>SITI WASIYATI</t>
  </si>
  <si>
    <t>SITI RATNASARI</t>
  </si>
  <si>
    <t>CICI WULANDARI</t>
  </si>
  <si>
    <t>KHAERUNISA</t>
  </si>
  <si>
    <t>LENI SUNARSIH</t>
  </si>
  <si>
    <t>SITI WAUCI</t>
  </si>
  <si>
    <t>MELDA ROSADI</t>
  </si>
  <si>
    <t>DESTI DARYATI</t>
  </si>
  <si>
    <t>3328011707200001</t>
  </si>
  <si>
    <t>3328016505200002</t>
  </si>
  <si>
    <t>3328012309200015</t>
  </si>
  <si>
    <t>WAHONO</t>
  </si>
  <si>
    <t>KB AL HIKMAH</t>
  </si>
  <si>
    <t>3328012203200001</t>
  </si>
  <si>
    <t>3328011601200002</t>
  </si>
  <si>
    <t>DULLOH</t>
  </si>
  <si>
    <t>3328011810190002</t>
  </si>
  <si>
    <t>3328011903190010</t>
  </si>
  <si>
    <t>MUAMAR</t>
  </si>
  <si>
    <t>3328011904190003</t>
  </si>
  <si>
    <t>3328010808110001</t>
  </si>
  <si>
    <t>USMANTO</t>
  </si>
  <si>
    <t>3328015206190004</t>
  </si>
  <si>
    <t>3328011212180003</t>
  </si>
  <si>
    <t>JEFRI ANDRES MAULANA</t>
  </si>
  <si>
    <t>3328011905200005</t>
  </si>
  <si>
    <t>3328011909170001</t>
  </si>
  <si>
    <t>TARMUDI</t>
  </si>
  <si>
    <t>3328012008190003</t>
  </si>
  <si>
    <t>3328011402110013</t>
  </si>
  <si>
    <t>WASORI</t>
  </si>
  <si>
    <t>3328013012190004</t>
  </si>
  <si>
    <t>3329152002180022</t>
  </si>
  <si>
    <t>3328012807200002</t>
  </si>
  <si>
    <t>3328012105150012</t>
  </si>
  <si>
    <t>3328011104190017</t>
  </si>
  <si>
    <t>AHMAD CHABIB</t>
  </si>
  <si>
    <t>3328012508190003</t>
  </si>
  <si>
    <t>3328012402081780</t>
  </si>
  <si>
    <t>BURUH TANI</t>
  </si>
  <si>
    <t>3328013005200001</t>
  </si>
  <si>
    <t>3328011508190006</t>
  </si>
  <si>
    <t>M. AMIN NUR ADI WIJAYA</t>
  </si>
  <si>
    <t>3328012801190003</t>
  </si>
  <si>
    <t>3328012808230006</t>
  </si>
  <si>
    <t>3328017105200004</t>
  </si>
  <si>
    <t>3328011609150006</t>
  </si>
  <si>
    <t>ABDUL JALIL</t>
  </si>
  <si>
    <t>3329026210190001</t>
  </si>
  <si>
    <t>3328010904210003</t>
  </si>
  <si>
    <t>3328011609190001</t>
  </si>
  <si>
    <t>3328010110250003</t>
  </si>
  <si>
    <t>MUH. IPUNG SANTOSO</t>
  </si>
  <si>
    <t>3328016901200002</t>
  </si>
  <si>
    <t>3328012807200008</t>
  </si>
  <si>
    <t>DEDI SUWITO</t>
  </si>
  <si>
    <t>DAFTAR SISWA KELAS I</t>
  </si>
  <si>
    <t>3328010705190011</t>
  </si>
  <si>
    <t>SUPRIYADI</t>
  </si>
  <si>
    <t>3328016408190003</t>
  </si>
  <si>
    <t>3328010108180025</t>
  </si>
  <si>
    <t>MUH. NURYOPI</t>
  </si>
  <si>
    <t>3328013105190005</t>
  </si>
  <si>
    <t>3328011702110200</t>
  </si>
  <si>
    <t>WARSITO</t>
  </si>
  <si>
    <t>3328012012190004</t>
  </si>
  <si>
    <t>3328012509140008</t>
  </si>
  <si>
    <t>3171031402200005</t>
  </si>
  <si>
    <t>3171033011111030</t>
  </si>
  <si>
    <t>3328010212190004</t>
  </si>
  <si>
    <t>MUARIP</t>
  </si>
  <si>
    <t>3328012402082366</t>
  </si>
  <si>
    <t>3328014704200003</t>
  </si>
  <si>
    <t>3328010110120001</t>
  </si>
  <si>
    <t>TOTO GUNARTO</t>
  </si>
  <si>
    <t>3328014105200002</t>
  </si>
  <si>
    <t>3328012205170006</t>
  </si>
  <si>
    <t>M RIZA MAHLEFI</t>
  </si>
  <si>
    <t>3328011205200001</t>
  </si>
  <si>
    <t>3328011209140004</t>
  </si>
  <si>
    <t>DAFTAR PESERTA DIDIK KELAS 2</t>
  </si>
  <si>
    <t>DAFTAR PESERTA DIDIK KELAS 3</t>
  </si>
  <si>
    <t>DAFTAR PESERTA DIDIK KELAS 4</t>
  </si>
  <si>
    <t>Guru Kelas VI</t>
  </si>
  <si>
    <t>DAFTAR PESERTA DIDIK KELAS VI</t>
  </si>
  <si>
    <t>DEDE SULEMAN</t>
  </si>
  <si>
    <t>SITI KURNIYAH</t>
  </si>
  <si>
    <t>3205854630</t>
  </si>
  <si>
    <t>3193823305</t>
  </si>
  <si>
    <t>M. SUCIPTO</t>
  </si>
  <si>
    <t>SANDI DARMAWAN</t>
  </si>
  <si>
    <t>AHMAD FAOZAN</t>
  </si>
  <si>
    <t>SITI SARI ROMADON</t>
  </si>
  <si>
    <t>3198558362</t>
  </si>
  <si>
    <t>3194719809</t>
  </si>
  <si>
    <t>3202905663</t>
  </si>
  <si>
    <t>3194251534</t>
  </si>
  <si>
    <t>3209509082</t>
  </si>
  <si>
    <t>3194194907</t>
  </si>
  <si>
    <t>3191620516</t>
  </si>
  <si>
    <t>3199176853</t>
  </si>
  <si>
    <t>3204709819</t>
  </si>
  <si>
    <t>3203790691</t>
  </si>
  <si>
    <t>3208306406</t>
  </si>
  <si>
    <t>3205959897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</si>
</sst>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dd/mm/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ndara"/>
      <family val="2"/>
    </font>
    <font>
      <sz val="12"/>
      <color theme="1"/>
      <name val="Candara"/>
      <family val="2"/>
    </font>
    <font>
      <sz val="11"/>
      <name val="Trebuchet MS"/>
      <family val="2"/>
    </font>
    <font>
      <b/>
      <u/>
      <sz val="14"/>
      <color theme="1"/>
      <name val="Candara"/>
      <family val="2"/>
    </font>
    <font>
      <b/>
      <sz val="16"/>
      <color theme="1"/>
      <name val="Candara"/>
      <family val="2"/>
    </font>
    <font>
      <b/>
      <sz val="14"/>
      <color theme="1"/>
      <name val="Candara"/>
      <family val="2"/>
    </font>
    <font>
      <sz val="14"/>
      <color rgb="FFFF0000"/>
      <name val="Candara"/>
      <family val="2"/>
    </font>
    <font>
      <sz val="11"/>
      <color rgb="FF000000"/>
      <name val="Calibri"/>
      <family val="2"/>
    </font>
    <font>
      <sz val="14"/>
      <name val="Candara"/>
      <family val="2"/>
    </font>
    <font>
      <b/>
      <sz val="14"/>
      <name val="Candara"/>
      <family val="2"/>
    </font>
    <font>
      <b/>
      <sz val="16"/>
      <name val="Candara"/>
      <family val="2"/>
    </font>
    <font>
      <sz val="14"/>
      <color theme="0"/>
      <name val="Candara"/>
      <family val="2"/>
    </font>
    <font>
      <sz val="11"/>
      <color theme="1"/>
      <name val="Candara"/>
      <family val="2"/>
    </font>
    <font>
      <sz val="14"/>
      <color rgb="FF000000"/>
      <name val="Candara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rgb="FF000000"/>
      <name val="Source Sans Pro"/>
      <family val="2"/>
    </font>
    <font>
      <sz val="12"/>
      <color theme="1"/>
      <name val="Calibri"/>
      <family val="2"/>
      <scheme val="minor"/>
    </font>
    <font>
      <sz val="14"/>
      <color theme="1"/>
      <name val="Candara"/>
      <family val="2"/>
      <charset val="1"/>
    </font>
    <font>
      <sz val="14"/>
      <color theme="1"/>
      <name val="Calibri"/>
      <family val="2"/>
      <charset val="1"/>
      <scheme val="minor"/>
    </font>
    <font>
      <u/>
      <sz val="14"/>
      <color theme="1"/>
      <name val="Candar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9" fillId="0" borderId="0"/>
    <xf numFmtId="0" fontId="16" fillId="0" borderId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quotePrefix="1" applyNumberFormat="1" applyFont="1" applyAlignment="1">
      <alignment horizontal="center" vertical="center"/>
    </xf>
    <xf numFmtId="0" fontId="2" fillId="0" borderId="0" xfId="0" applyFont="1"/>
    <xf numFmtId="0" fontId="2" fillId="0" borderId="0" xfId="1" applyFont="1"/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left"/>
    </xf>
    <xf numFmtId="0" fontId="2" fillId="0" borderId="0" xfId="2" applyFont="1"/>
    <xf numFmtId="0" fontId="2" fillId="0" borderId="0" xfId="0" applyFont="1" applyAlignment="1">
      <alignment horizontal="center"/>
    </xf>
    <xf numFmtId="164" fontId="2" fillId="0" borderId="0" xfId="2" applyNumberFormat="1" applyFont="1" applyAlignment="1">
      <alignment horizontal="left"/>
    </xf>
    <xf numFmtId="164" fontId="2" fillId="0" borderId="0" xfId="2" applyNumberFormat="1" applyFont="1" applyAlignment="1">
      <alignment horizontal="center"/>
    </xf>
    <xf numFmtId="0" fontId="5" fillId="0" borderId="0" xfId="2" applyFont="1"/>
    <xf numFmtId="164" fontId="5" fillId="0" borderId="0" xfId="2" applyNumberFormat="1" applyFont="1" applyAlignment="1">
      <alignment horizontal="left"/>
    </xf>
    <xf numFmtId="0" fontId="5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quotePrefix="1" applyNumberFormat="1" applyFont="1" applyBorder="1" applyAlignment="1">
      <alignment horizontal="left" vertical="center"/>
    </xf>
    <xf numFmtId="0" fontId="8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49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/>
    <xf numFmtId="0" fontId="10" fillId="0" borderId="2" xfId="0" quotePrefix="1" applyFont="1" applyBorder="1" applyAlignment="1">
      <alignment horizontal="center" vertical="center"/>
    </xf>
    <xf numFmtId="164" fontId="10" fillId="0" borderId="2" xfId="0" quotePrefix="1" applyNumberFormat="1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164" fontId="2" fillId="0" borderId="1" xfId="0" quotePrefix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14" fillId="0" borderId="0" xfId="0" applyFont="1"/>
    <xf numFmtId="0" fontId="10" fillId="0" borderId="1" xfId="0" applyFont="1" applyBorder="1"/>
    <xf numFmtId="0" fontId="10" fillId="0" borderId="2" xfId="0" applyFont="1" applyBorder="1"/>
    <xf numFmtId="165" fontId="2" fillId="0" borderId="1" xfId="0" applyNumberFormat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 vertical="center" wrapText="1"/>
    </xf>
    <xf numFmtId="0" fontId="3" fillId="0" borderId="1" xfId="4" quotePrefix="1" applyFont="1" applyBorder="1" applyAlignment="1">
      <alignment horizontal="center"/>
    </xf>
    <xf numFmtId="0" fontId="3" fillId="0" borderId="1" xfId="4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9" fillId="0" borderId="0" xfId="0" applyFont="1"/>
    <xf numFmtId="0" fontId="17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center"/>
    </xf>
    <xf numFmtId="0" fontId="21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14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1" applyFont="1"/>
    <xf numFmtId="0" fontId="22" fillId="0" borderId="0" xfId="2" applyFont="1"/>
    <xf numFmtId="0" fontId="24" fillId="0" borderId="0" xfId="2" applyFont="1"/>
    <xf numFmtId="0" fontId="22" fillId="0" borderId="0" xfId="0" applyFont="1"/>
    <xf numFmtId="0" fontId="0" fillId="0" borderId="1" xfId="0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3" xr:uid="{00000000-0005-0000-0000-000001000000}"/>
    <cellStyle name="Normal 3" xfId="4" xr:uid="{895DA710-224E-4472-8B85-29700EE35428}"/>
    <cellStyle name="Normal 4" xfId="2" xr:uid="{00000000-0005-0000-0000-000002000000}"/>
    <cellStyle name="Normal 5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X52"/>
  <sheetViews>
    <sheetView view="pageBreakPreview" zoomScale="55" zoomScaleNormal="50" zoomScaleSheetLayoutView="55" workbookViewId="0">
      <selection activeCell="J59" sqref="J59"/>
    </sheetView>
  </sheetViews>
  <sheetFormatPr defaultColWidth="9.140625" defaultRowHeight="18.75" x14ac:dyDescent="0.3"/>
  <cols>
    <col min="1" max="1" width="5.140625" style="5" customWidth="1"/>
    <col min="2" max="2" width="48.42578125" style="103" bestFit="1" customWidth="1"/>
    <col min="3" max="3" width="11" style="5" customWidth="1"/>
    <col min="4" max="4" width="14.7109375" style="5" customWidth="1"/>
    <col min="5" max="5" width="21.5703125" style="5" customWidth="1"/>
    <col min="6" max="6" width="22.7109375" style="5" customWidth="1"/>
    <col min="7" max="7" width="8" style="5" customWidth="1"/>
    <col min="8" max="8" width="28.7109375" style="39" customWidth="1"/>
    <col min="9" max="9" width="24" style="21" customWidth="1"/>
    <col min="10" max="10" width="22.28515625" style="10" customWidth="1"/>
    <col min="11" max="11" width="38.7109375" style="5" customWidth="1"/>
    <col min="12" max="12" width="34.7109375" style="5" customWidth="1"/>
    <col min="13" max="13" width="9.28515625" style="5" bestFit="1" customWidth="1"/>
    <col min="14" max="14" width="12.7109375" style="5" customWidth="1"/>
    <col min="15" max="16" width="28" style="5" bestFit="1" customWidth="1"/>
    <col min="17" max="17" width="11.28515625" style="5" bestFit="1" customWidth="1"/>
    <col min="18" max="18" width="8.42578125" style="5" bestFit="1" customWidth="1"/>
    <col min="19" max="19" width="15.140625" style="5" customWidth="1"/>
    <col min="20" max="20" width="9.140625" style="5"/>
    <col min="21" max="21" width="52.140625" style="5" customWidth="1"/>
    <col min="22" max="16384" width="9.140625" style="5"/>
  </cols>
  <sheetData>
    <row r="1" spans="1:21" ht="21" x14ac:dyDescent="0.35">
      <c r="A1" s="108" t="s">
        <v>991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21" ht="21" x14ac:dyDescent="0.3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1:21" ht="21" x14ac:dyDescent="0.35">
      <c r="A3" s="108" t="s">
        <v>666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5" spans="1:21" x14ac:dyDescent="0.3">
      <c r="A5" s="107" t="s">
        <v>1</v>
      </c>
      <c r="B5" s="109" t="s">
        <v>2</v>
      </c>
      <c r="C5" s="107" t="s">
        <v>3</v>
      </c>
      <c r="D5" s="107" t="s">
        <v>4</v>
      </c>
      <c r="E5" s="107" t="s">
        <v>754</v>
      </c>
      <c r="F5" s="107" t="s">
        <v>839</v>
      </c>
      <c r="G5" s="110" t="s">
        <v>260</v>
      </c>
      <c r="H5" s="110" t="s">
        <v>220</v>
      </c>
      <c r="I5" s="107" t="s">
        <v>7</v>
      </c>
      <c r="J5" s="105" t="s">
        <v>8</v>
      </c>
      <c r="K5" s="107" t="s">
        <v>221</v>
      </c>
      <c r="L5" s="107" t="s">
        <v>10</v>
      </c>
      <c r="M5" s="111" t="s">
        <v>13</v>
      </c>
      <c r="N5" s="110" t="s">
        <v>14</v>
      </c>
      <c r="O5" s="107" t="s">
        <v>11</v>
      </c>
      <c r="P5" s="107"/>
      <c r="Q5" s="115" t="s">
        <v>15</v>
      </c>
      <c r="R5" s="116"/>
      <c r="S5" s="107" t="s">
        <v>12</v>
      </c>
      <c r="T5" s="107"/>
      <c r="U5" s="105" t="s">
        <v>222</v>
      </c>
    </row>
    <row r="6" spans="1:21" x14ac:dyDescent="0.3">
      <c r="A6" s="107"/>
      <c r="B6" s="109"/>
      <c r="C6" s="107"/>
      <c r="D6" s="107"/>
      <c r="E6" s="107"/>
      <c r="F6" s="107"/>
      <c r="G6" s="110"/>
      <c r="H6" s="110"/>
      <c r="I6" s="107"/>
      <c r="J6" s="106"/>
      <c r="K6" s="107"/>
      <c r="L6" s="107"/>
      <c r="M6" s="112"/>
      <c r="N6" s="110"/>
      <c r="O6" s="57" t="s">
        <v>9</v>
      </c>
      <c r="P6" s="57" t="s">
        <v>10</v>
      </c>
      <c r="Q6" s="57" t="s">
        <v>16</v>
      </c>
      <c r="R6" s="57" t="s">
        <v>17</v>
      </c>
      <c r="S6" s="57" t="s">
        <v>9</v>
      </c>
      <c r="T6" s="57" t="s">
        <v>10</v>
      </c>
      <c r="U6" s="106"/>
    </row>
    <row r="7" spans="1:21" s="37" customFormat="1" x14ac:dyDescent="0.3">
      <c r="A7" s="57">
        <v>1</v>
      </c>
      <c r="B7" s="96" t="s">
        <v>850</v>
      </c>
      <c r="C7" s="17">
        <v>4677</v>
      </c>
      <c r="D7" s="104" t="s">
        <v>875</v>
      </c>
      <c r="E7" s="34" t="s">
        <v>943</v>
      </c>
      <c r="F7" s="34" t="s">
        <v>992</v>
      </c>
      <c r="G7" s="91" t="s">
        <v>20</v>
      </c>
      <c r="H7" s="89" t="s">
        <v>21</v>
      </c>
      <c r="I7" s="90">
        <v>44029</v>
      </c>
      <c r="J7" s="63" t="str">
        <f t="shared" ref="J7:J40" ca="1" si="0">DATEDIF(I7,TODAY(),"Y")&amp;" Tahun, "&amp;DATEDIF(I7,TODAY(),"YM")&amp;" Bulan "</f>
        <v xml:space="preserve">6 Tahun, 2 Bulan </v>
      </c>
      <c r="K7" s="59" t="s">
        <v>993</v>
      </c>
      <c r="L7" s="59" t="s">
        <v>923</v>
      </c>
      <c r="M7" s="92">
        <v>2</v>
      </c>
      <c r="N7" s="17">
        <v>1</v>
      </c>
      <c r="O7" s="17" t="s">
        <v>24</v>
      </c>
      <c r="P7" s="17" t="s">
        <v>25</v>
      </c>
      <c r="Q7" s="17">
        <v>2</v>
      </c>
      <c r="R7" s="17">
        <v>8</v>
      </c>
      <c r="S7" s="17" t="s">
        <v>39</v>
      </c>
      <c r="T7" s="17" t="s">
        <v>27</v>
      </c>
      <c r="U7" s="92" t="s">
        <v>910</v>
      </c>
    </row>
    <row r="8" spans="1:21" s="37" customFormat="1" x14ac:dyDescent="0.3">
      <c r="A8" s="57">
        <v>2</v>
      </c>
      <c r="B8" s="96" t="s">
        <v>846</v>
      </c>
      <c r="C8" s="17">
        <v>4678</v>
      </c>
      <c r="D8" s="104" t="s">
        <v>874</v>
      </c>
      <c r="E8" s="34" t="s">
        <v>911</v>
      </c>
      <c r="F8" s="34" t="s">
        <v>912</v>
      </c>
      <c r="G8" s="91" t="s">
        <v>20</v>
      </c>
      <c r="H8" s="89" t="s">
        <v>21</v>
      </c>
      <c r="I8" s="90">
        <v>43932</v>
      </c>
      <c r="J8" s="63" t="str">
        <f t="shared" ca="1" si="0"/>
        <v xml:space="preserve">6 Tahun, 5 Bulan </v>
      </c>
      <c r="K8" s="59" t="s">
        <v>913</v>
      </c>
      <c r="L8" s="59" t="s">
        <v>914</v>
      </c>
      <c r="M8" s="17">
        <v>2</v>
      </c>
      <c r="N8" s="17">
        <v>1</v>
      </c>
      <c r="O8" s="17" t="s">
        <v>33</v>
      </c>
      <c r="P8" s="17" t="s">
        <v>25</v>
      </c>
      <c r="Q8" s="17">
        <v>1</v>
      </c>
      <c r="R8" s="17">
        <v>10</v>
      </c>
      <c r="S8" s="17" t="s">
        <v>27</v>
      </c>
      <c r="T8" s="17" t="s">
        <v>39</v>
      </c>
      <c r="U8" s="17" t="s">
        <v>915</v>
      </c>
    </row>
    <row r="9" spans="1:21" s="37" customFormat="1" x14ac:dyDescent="0.3">
      <c r="A9" s="57">
        <v>3</v>
      </c>
      <c r="B9" s="96" t="s">
        <v>847</v>
      </c>
      <c r="C9" s="17">
        <v>4679</v>
      </c>
      <c r="D9" s="104" t="s">
        <v>873</v>
      </c>
      <c r="E9" s="34" t="s">
        <v>994</v>
      </c>
      <c r="F9" s="34" t="s">
        <v>995</v>
      </c>
      <c r="G9" s="91" t="s">
        <v>36</v>
      </c>
      <c r="H9" s="89" t="s">
        <v>21</v>
      </c>
      <c r="I9" s="90">
        <v>43701</v>
      </c>
      <c r="J9" s="63" t="str">
        <f t="shared" ca="1" si="0"/>
        <v xml:space="preserve">7 Tahun, 0 Bulan </v>
      </c>
      <c r="K9" s="59" t="s">
        <v>996</v>
      </c>
      <c r="L9" s="59" t="s">
        <v>925</v>
      </c>
      <c r="M9" s="17">
        <v>1</v>
      </c>
      <c r="N9" s="17">
        <v>0</v>
      </c>
      <c r="O9" s="17" t="s">
        <v>24</v>
      </c>
      <c r="P9" s="17" t="s">
        <v>24</v>
      </c>
      <c r="Q9" s="17">
        <v>5</v>
      </c>
      <c r="R9" s="17">
        <v>10</v>
      </c>
      <c r="S9" s="17" t="s">
        <v>26</v>
      </c>
      <c r="T9" s="17" t="s">
        <v>26</v>
      </c>
      <c r="U9" s="17" t="s">
        <v>910</v>
      </c>
    </row>
    <row r="10" spans="1:21" s="37" customFormat="1" x14ac:dyDescent="0.3">
      <c r="A10" s="57">
        <v>4</v>
      </c>
      <c r="B10" s="96" t="s">
        <v>851</v>
      </c>
      <c r="C10" s="17">
        <v>4680</v>
      </c>
      <c r="D10" s="104" t="s">
        <v>876</v>
      </c>
      <c r="E10" s="34" t="s">
        <v>918</v>
      </c>
      <c r="F10" s="34" t="s">
        <v>907</v>
      </c>
      <c r="G10" s="91" t="s">
        <v>36</v>
      </c>
      <c r="H10" s="89" t="s">
        <v>21</v>
      </c>
      <c r="I10" s="90">
        <v>43582</v>
      </c>
      <c r="J10" s="63" t="str">
        <f t="shared" ca="1" si="0"/>
        <v xml:space="preserve">7 Tahun, 4 Bulan </v>
      </c>
      <c r="K10" s="59" t="s">
        <v>908</v>
      </c>
      <c r="L10" s="59" t="s">
        <v>909</v>
      </c>
      <c r="M10" s="17">
        <v>1</v>
      </c>
      <c r="N10" s="17">
        <v>1</v>
      </c>
      <c r="O10" s="17" t="s">
        <v>224</v>
      </c>
      <c r="P10" s="17" t="s">
        <v>25</v>
      </c>
      <c r="Q10" s="17">
        <v>2</v>
      </c>
      <c r="R10" s="17">
        <v>10</v>
      </c>
      <c r="S10" s="17" t="s">
        <v>27</v>
      </c>
      <c r="T10" s="17" t="s">
        <v>39</v>
      </c>
      <c r="U10" s="17" t="s">
        <v>910</v>
      </c>
    </row>
    <row r="11" spans="1:21" x14ac:dyDescent="0.3">
      <c r="A11" s="57">
        <v>5</v>
      </c>
      <c r="B11" s="96" t="s">
        <v>890</v>
      </c>
      <c r="C11" s="17">
        <v>4681</v>
      </c>
      <c r="D11" s="104" t="s">
        <v>877</v>
      </c>
      <c r="E11" s="34" t="s">
        <v>997</v>
      </c>
      <c r="F11" s="34" t="s">
        <v>998</v>
      </c>
      <c r="G11" s="91" t="s">
        <v>20</v>
      </c>
      <c r="H11" s="89" t="s">
        <v>21</v>
      </c>
      <c r="I11" s="90">
        <v>43616</v>
      </c>
      <c r="J11" s="63" t="str">
        <f t="shared" ca="1" si="0"/>
        <v xml:space="preserve">7 Tahun, 3 Bulan </v>
      </c>
      <c r="K11" s="59" t="s">
        <v>999</v>
      </c>
      <c r="L11" s="59" t="s">
        <v>926</v>
      </c>
      <c r="M11" s="17">
        <v>2</v>
      </c>
      <c r="N11" s="17">
        <v>1</v>
      </c>
      <c r="O11" s="17" t="s">
        <v>48</v>
      </c>
      <c r="P11" s="17" t="s">
        <v>25</v>
      </c>
      <c r="Q11" s="17">
        <v>2</v>
      </c>
      <c r="R11" s="17">
        <v>8</v>
      </c>
      <c r="S11" s="17" t="s">
        <v>39</v>
      </c>
      <c r="T11" s="17" t="s">
        <v>27</v>
      </c>
      <c r="U11" s="17" t="s">
        <v>910</v>
      </c>
    </row>
    <row r="12" spans="1:21" x14ac:dyDescent="0.3">
      <c r="A12" s="57">
        <v>6</v>
      </c>
      <c r="B12" s="96" t="s">
        <v>852</v>
      </c>
      <c r="C12" s="17">
        <v>4682</v>
      </c>
      <c r="D12" s="104" t="s">
        <v>1022</v>
      </c>
      <c r="E12" s="34" t="s">
        <v>902</v>
      </c>
      <c r="F12" s="34" t="s">
        <v>903</v>
      </c>
      <c r="G12" s="91" t="s">
        <v>36</v>
      </c>
      <c r="H12" s="89" t="s">
        <v>21</v>
      </c>
      <c r="I12" s="90">
        <v>43966</v>
      </c>
      <c r="J12" s="63" t="str">
        <f t="shared" ca="1" si="0"/>
        <v xml:space="preserve">6 Tahun, 4 Bulan </v>
      </c>
      <c r="K12" s="59" t="s">
        <v>904</v>
      </c>
      <c r="L12" s="59" t="s">
        <v>905</v>
      </c>
      <c r="M12" s="17">
        <v>4</v>
      </c>
      <c r="N12" s="17">
        <v>3</v>
      </c>
      <c r="O12" s="17" t="s">
        <v>33</v>
      </c>
      <c r="P12" s="17" t="s">
        <v>25</v>
      </c>
      <c r="Q12" s="17">
        <v>1</v>
      </c>
      <c r="R12" s="17">
        <v>9</v>
      </c>
      <c r="S12" s="17" t="s">
        <v>39</v>
      </c>
      <c r="T12" s="17" t="s">
        <v>39</v>
      </c>
      <c r="U12" s="17" t="s">
        <v>53</v>
      </c>
    </row>
    <row r="13" spans="1:21" s="37" customFormat="1" x14ac:dyDescent="0.3">
      <c r="A13" s="57">
        <v>7</v>
      </c>
      <c r="B13" s="96" t="s">
        <v>855</v>
      </c>
      <c r="C13" s="17">
        <v>4683</v>
      </c>
      <c r="D13" s="104" t="s">
        <v>879</v>
      </c>
      <c r="E13" s="34" t="s">
        <v>1000</v>
      </c>
      <c r="F13" s="34" t="s">
        <v>1001</v>
      </c>
      <c r="G13" s="91" t="s">
        <v>20</v>
      </c>
      <c r="H13" s="89" t="s">
        <v>21</v>
      </c>
      <c r="I13" s="90">
        <v>43819</v>
      </c>
      <c r="J13" s="63" t="str">
        <f t="shared" ca="1" si="0"/>
        <v xml:space="preserve">6 Tahun, 9 Bulan </v>
      </c>
      <c r="K13" s="59" t="s">
        <v>53</v>
      </c>
      <c r="L13" s="59" t="s">
        <v>927</v>
      </c>
      <c r="M13" s="17">
        <v>2</v>
      </c>
      <c r="N13" s="17">
        <v>1</v>
      </c>
      <c r="O13" s="17"/>
      <c r="P13" s="17" t="s">
        <v>33</v>
      </c>
      <c r="Q13" s="17">
        <v>2</v>
      </c>
      <c r="R13" s="17">
        <v>9</v>
      </c>
      <c r="S13" s="17"/>
      <c r="T13" s="17" t="s">
        <v>27</v>
      </c>
      <c r="U13" s="17" t="s">
        <v>910</v>
      </c>
    </row>
    <row r="14" spans="1:21" s="37" customFormat="1" x14ac:dyDescent="0.3">
      <c r="A14" s="57">
        <v>8</v>
      </c>
      <c r="B14" s="96" t="s">
        <v>854</v>
      </c>
      <c r="C14" s="17">
        <v>4684</v>
      </c>
      <c r="D14" s="104" t="s">
        <v>1028</v>
      </c>
      <c r="E14" s="34" t="s">
        <v>919</v>
      </c>
      <c r="F14" s="34" t="s">
        <v>906</v>
      </c>
      <c r="G14" s="91" t="s">
        <v>20</v>
      </c>
      <c r="H14" s="89" t="s">
        <v>237</v>
      </c>
      <c r="I14" s="90">
        <v>43806</v>
      </c>
      <c r="J14" s="63" t="str">
        <f t="shared" ca="1" si="0"/>
        <v xml:space="preserve">6 Tahun, 9 Bulan </v>
      </c>
      <c r="K14" s="59" t="s">
        <v>563</v>
      </c>
      <c r="L14" s="59" t="s">
        <v>597</v>
      </c>
      <c r="M14" s="17">
        <v>3</v>
      </c>
      <c r="N14" s="17">
        <v>2</v>
      </c>
      <c r="O14" s="17" t="s">
        <v>48</v>
      </c>
      <c r="P14" s="17" t="s">
        <v>25</v>
      </c>
      <c r="Q14" s="17">
        <v>1</v>
      </c>
      <c r="R14" s="17">
        <v>11</v>
      </c>
      <c r="S14" s="17" t="s">
        <v>26</v>
      </c>
      <c r="T14" s="17" t="s">
        <v>27</v>
      </c>
      <c r="U14" s="17"/>
    </row>
    <row r="15" spans="1:21" x14ac:dyDescent="0.3">
      <c r="A15" s="57">
        <v>9</v>
      </c>
      <c r="B15" s="96" t="s">
        <v>853</v>
      </c>
      <c r="C15" s="17">
        <v>4685</v>
      </c>
      <c r="D15" s="104" t="s">
        <v>1029</v>
      </c>
      <c r="E15" s="34" t="s">
        <v>917</v>
      </c>
      <c r="F15" s="34" t="s">
        <v>916</v>
      </c>
      <c r="G15" s="91" t="s">
        <v>36</v>
      </c>
      <c r="H15" s="89" t="s">
        <v>21</v>
      </c>
      <c r="I15" s="90">
        <v>43827</v>
      </c>
      <c r="J15" s="63" t="str">
        <f t="shared" ca="1" si="0"/>
        <v xml:space="preserve">6 Tahun, 8 Bulan </v>
      </c>
      <c r="K15" s="59" t="s">
        <v>1024</v>
      </c>
      <c r="L15" s="59" t="s">
        <v>928</v>
      </c>
      <c r="M15" s="17">
        <v>2</v>
      </c>
      <c r="N15" s="17">
        <v>1</v>
      </c>
      <c r="O15" s="17" t="s">
        <v>48</v>
      </c>
      <c r="P15" s="17" t="s">
        <v>25</v>
      </c>
      <c r="Q15" s="17">
        <v>1</v>
      </c>
      <c r="R15" s="17">
        <v>11</v>
      </c>
      <c r="S15" s="17" t="s">
        <v>27</v>
      </c>
      <c r="T15" s="17" t="s">
        <v>27</v>
      </c>
      <c r="U15" s="17"/>
    </row>
    <row r="16" spans="1:21" x14ac:dyDescent="0.3">
      <c r="A16" s="57">
        <v>10</v>
      </c>
      <c r="B16" s="96" t="s">
        <v>848</v>
      </c>
      <c r="C16" s="17">
        <v>4686</v>
      </c>
      <c r="D16" s="104" t="s">
        <v>1030</v>
      </c>
      <c r="E16" s="34" t="s">
        <v>1002</v>
      </c>
      <c r="F16" s="34" t="s">
        <v>1003</v>
      </c>
      <c r="G16" s="91" t="s">
        <v>20</v>
      </c>
      <c r="H16" s="89" t="s">
        <v>21</v>
      </c>
      <c r="I16" s="90">
        <v>43875</v>
      </c>
      <c r="J16" s="63" t="str">
        <f t="shared" ca="1" si="0"/>
        <v xml:space="preserve">6 Tahun, 7 Bulan </v>
      </c>
      <c r="K16" s="59" t="s">
        <v>129</v>
      </c>
      <c r="L16" s="59" t="s">
        <v>130</v>
      </c>
      <c r="M16" s="17">
        <v>3</v>
      </c>
      <c r="N16" s="17">
        <v>2</v>
      </c>
      <c r="O16" s="17" t="s">
        <v>24</v>
      </c>
      <c r="P16" s="17" t="s">
        <v>25</v>
      </c>
      <c r="Q16" s="17">
        <v>1</v>
      </c>
      <c r="R16" s="17">
        <v>11</v>
      </c>
      <c r="S16" s="17" t="s">
        <v>26</v>
      </c>
      <c r="T16" s="17" t="s">
        <v>26</v>
      </c>
      <c r="U16" s="17" t="s">
        <v>53</v>
      </c>
    </row>
    <row r="17" spans="1:21" s="37" customFormat="1" x14ac:dyDescent="0.3">
      <c r="A17" s="57">
        <v>11</v>
      </c>
      <c r="B17" s="96" t="s">
        <v>858</v>
      </c>
      <c r="C17" s="17">
        <v>4687</v>
      </c>
      <c r="D17" s="104" t="s">
        <v>881</v>
      </c>
      <c r="E17" s="34" t="s">
        <v>954</v>
      </c>
      <c r="F17" s="34" t="s">
        <v>955</v>
      </c>
      <c r="G17" s="91" t="s">
        <v>20</v>
      </c>
      <c r="H17" s="89" t="s">
        <v>21</v>
      </c>
      <c r="I17" s="90">
        <v>43574</v>
      </c>
      <c r="J17" s="63" t="str">
        <f t="shared" ca="1" si="0"/>
        <v xml:space="preserve">7 Tahun, 5 Bulan </v>
      </c>
      <c r="K17" s="59" t="s">
        <v>956</v>
      </c>
      <c r="L17" s="59" t="s">
        <v>929</v>
      </c>
      <c r="M17" s="17">
        <v>2</v>
      </c>
      <c r="N17" s="17">
        <v>1</v>
      </c>
      <c r="O17" s="17" t="s">
        <v>33</v>
      </c>
      <c r="P17" s="17" t="s">
        <v>25</v>
      </c>
      <c r="Q17" s="17">
        <v>2</v>
      </c>
      <c r="R17" s="17">
        <v>10</v>
      </c>
      <c r="S17" s="17" t="s">
        <v>39</v>
      </c>
      <c r="T17" s="17" t="s">
        <v>27</v>
      </c>
      <c r="U17" s="17" t="s">
        <v>947</v>
      </c>
    </row>
    <row r="18" spans="1:21" s="37" customFormat="1" x14ac:dyDescent="0.3">
      <c r="A18" s="57">
        <v>12</v>
      </c>
      <c r="B18" s="96" t="s">
        <v>892</v>
      </c>
      <c r="C18" s="17">
        <v>4688</v>
      </c>
      <c r="D18" s="104" t="s">
        <v>883</v>
      </c>
      <c r="E18" s="34" t="s">
        <v>1004</v>
      </c>
      <c r="F18" s="34" t="s">
        <v>1006</v>
      </c>
      <c r="G18" s="91" t="s">
        <v>20</v>
      </c>
      <c r="H18" s="89" t="s">
        <v>21</v>
      </c>
      <c r="I18" s="90">
        <v>43801</v>
      </c>
      <c r="J18" s="63" t="str">
        <f t="shared" ca="1" si="0"/>
        <v xml:space="preserve">6 Tahun, 9 Bulan </v>
      </c>
      <c r="K18" s="59" t="s">
        <v>1005</v>
      </c>
      <c r="L18" s="59" t="s">
        <v>930</v>
      </c>
      <c r="M18" s="17">
        <v>1</v>
      </c>
      <c r="N18" s="17">
        <v>0</v>
      </c>
      <c r="O18" s="17" t="s">
        <v>48</v>
      </c>
      <c r="P18" s="17" t="s">
        <v>25</v>
      </c>
      <c r="Q18" s="17">
        <v>1</v>
      </c>
      <c r="R18" s="17">
        <v>10</v>
      </c>
      <c r="S18" s="17" t="s">
        <v>39</v>
      </c>
      <c r="T18" s="17" t="s">
        <v>26</v>
      </c>
      <c r="U18" s="17" t="s">
        <v>910</v>
      </c>
    </row>
    <row r="19" spans="1:21" s="37" customFormat="1" x14ac:dyDescent="0.3">
      <c r="A19" s="57">
        <v>13</v>
      </c>
      <c r="B19" s="96" t="s">
        <v>860</v>
      </c>
      <c r="C19" s="17">
        <v>4689</v>
      </c>
      <c r="D19" s="104" t="s">
        <v>884</v>
      </c>
      <c r="E19" s="34" t="s">
        <v>944</v>
      </c>
      <c r="F19" s="34" t="s">
        <v>945</v>
      </c>
      <c r="G19" s="91" t="s">
        <v>36</v>
      </c>
      <c r="H19" s="89" t="s">
        <v>21</v>
      </c>
      <c r="I19" s="90">
        <v>43976</v>
      </c>
      <c r="J19" s="63" t="str">
        <f t="shared" ca="1" si="0"/>
        <v xml:space="preserve">6 Tahun, 3 Bulan </v>
      </c>
      <c r="K19" s="59" t="s">
        <v>946</v>
      </c>
      <c r="L19" s="59" t="s">
        <v>931</v>
      </c>
      <c r="M19" s="17">
        <v>1</v>
      </c>
      <c r="N19" s="17">
        <v>0</v>
      </c>
      <c r="O19" s="17" t="s">
        <v>33</v>
      </c>
      <c r="P19" s="17" t="s">
        <v>25</v>
      </c>
      <c r="Q19" s="17">
        <v>3</v>
      </c>
      <c r="R19" s="17">
        <v>10</v>
      </c>
      <c r="S19" s="17" t="s">
        <v>26</v>
      </c>
      <c r="T19" s="17" t="s">
        <v>26</v>
      </c>
      <c r="U19" s="17" t="s">
        <v>947</v>
      </c>
    </row>
    <row r="20" spans="1:21" s="37" customFormat="1" x14ac:dyDescent="0.3">
      <c r="A20" s="57">
        <v>14</v>
      </c>
      <c r="B20" s="96" t="s">
        <v>862</v>
      </c>
      <c r="C20" s="17">
        <v>4690</v>
      </c>
      <c r="D20" s="104" t="s">
        <v>1031</v>
      </c>
      <c r="E20" s="34" t="s">
        <v>898</v>
      </c>
      <c r="F20" s="34" t="s">
        <v>899</v>
      </c>
      <c r="G20" s="91" t="s">
        <v>36</v>
      </c>
      <c r="H20" s="89" t="s">
        <v>21</v>
      </c>
      <c r="I20" s="90">
        <v>43748</v>
      </c>
      <c r="J20" s="63" t="str">
        <f t="shared" ca="1" si="0"/>
        <v xml:space="preserve">6 Tahun, 11 Bulan </v>
      </c>
      <c r="K20" s="59" t="s">
        <v>900</v>
      </c>
      <c r="L20" s="59" t="s">
        <v>901</v>
      </c>
      <c r="M20" s="17">
        <v>2</v>
      </c>
      <c r="N20" s="17">
        <v>1</v>
      </c>
      <c r="O20" s="17" t="s">
        <v>223</v>
      </c>
      <c r="P20" s="17" t="s">
        <v>223</v>
      </c>
      <c r="Q20" s="17">
        <v>3</v>
      </c>
      <c r="R20" s="17">
        <v>7</v>
      </c>
      <c r="S20" s="17" t="s">
        <v>64</v>
      </c>
      <c r="T20" s="17" t="s">
        <v>64</v>
      </c>
      <c r="U20" s="17"/>
    </row>
    <row r="21" spans="1:21" s="37" customFormat="1" x14ac:dyDescent="0.3">
      <c r="A21" s="57">
        <v>15</v>
      </c>
      <c r="B21" s="97" t="s">
        <v>840</v>
      </c>
      <c r="C21" s="17">
        <v>4691</v>
      </c>
      <c r="D21" s="104" t="s">
        <v>841</v>
      </c>
      <c r="E21" s="88" t="s">
        <v>842</v>
      </c>
      <c r="F21" s="88" t="s">
        <v>843</v>
      </c>
      <c r="G21" s="93" t="s">
        <v>36</v>
      </c>
      <c r="H21" s="89" t="s">
        <v>21</v>
      </c>
      <c r="I21" s="63">
        <v>43827</v>
      </c>
      <c r="J21" s="63" t="str">
        <f t="shared" ca="1" si="0"/>
        <v xml:space="preserve">6 Tahun, 8 Bulan </v>
      </c>
      <c r="K21" s="58" t="s">
        <v>249</v>
      </c>
      <c r="L21" s="58" t="s">
        <v>844</v>
      </c>
      <c r="M21" s="27">
        <v>3</v>
      </c>
      <c r="N21" s="27">
        <v>3</v>
      </c>
      <c r="O21" s="17" t="s">
        <v>24</v>
      </c>
      <c r="P21" s="17" t="s">
        <v>24</v>
      </c>
      <c r="Q21" s="17">
        <v>2</v>
      </c>
      <c r="R21" s="17">
        <v>11</v>
      </c>
      <c r="S21" s="57" t="s">
        <v>39</v>
      </c>
      <c r="T21" s="57" t="s">
        <v>39</v>
      </c>
      <c r="U21" s="57"/>
    </row>
    <row r="22" spans="1:21" x14ac:dyDescent="0.3">
      <c r="A22" s="57">
        <v>16</v>
      </c>
      <c r="B22" s="96" t="s">
        <v>857</v>
      </c>
      <c r="C22" s="17">
        <v>4692</v>
      </c>
      <c r="D22" s="104" t="s">
        <v>880</v>
      </c>
      <c r="E22" s="34" t="s">
        <v>951</v>
      </c>
      <c r="F22" s="34" t="s">
        <v>952</v>
      </c>
      <c r="G22" s="91" t="s">
        <v>20</v>
      </c>
      <c r="H22" s="89" t="s">
        <v>21</v>
      </c>
      <c r="I22" s="90">
        <v>43756</v>
      </c>
      <c r="J22" s="63" t="str">
        <f t="shared" ca="1" si="0"/>
        <v xml:space="preserve">6 Tahun, 11 Bulan </v>
      </c>
      <c r="K22" s="59" t="s">
        <v>953</v>
      </c>
      <c r="L22" s="59" t="s">
        <v>932</v>
      </c>
      <c r="M22" s="17">
        <v>1</v>
      </c>
      <c r="N22" s="17">
        <v>0</v>
      </c>
      <c r="O22" s="17" t="s">
        <v>24</v>
      </c>
      <c r="P22" s="17" t="s">
        <v>25</v>
      </c>
      <c r="Q22" s="17">
        <v>1</v>
      </c>
      <c r="R22" s="17">
        <v>10</v>
      </c>
      <c r="S22" s="57" t="s">
        <v>39</v>
      </c>
      <c r="T22" s="17" t="s">
        <v>27</v>
      </c>
      <c r="U22" s="17" t="s">
        <v>947</v>
      </c>
    </row>
    <row r="23" spans="1:21" s="37" customFormat="1" x14ac:dyDescent="0.3">
      <c r="A23" s="57">
        <v>17</v>
      </c>
      <c r="B23" s="96" t="s">
        <v>863</v>
      </c>
      <c r="C23" s="17">
        <v>4693</v>
      </c>
      <c r="D23" s="104" t="s">
        <v>1032</v>
      </c>
      <c r="E23" s="34" t="s">
        <v>1007</v>
      </c>
      <c r="F23" s="34" t="s">
        <v>1008</v>
      </c>
      <c r="G23" s="91" t="s">
        <v>36</v>
      </c>
      <c r="H23" s="89" t="s">
        <v>21</v>
      </c>
      <c r="I23" s="90">
        <v>43928</v>
      </c>
      <c r="J23" s="63" t="str">
        <f t="shared" ca="1" si="0"/>
        <v xml:space="preserve">6 Tahun, 5 Bulan </v>
      </c>
      <c r="K23" s="59" t="s">
        <v>1009</v>
      </c>
      <c r="L23" s="59" t="s">
        <v>933</v>
      </c>
      <c r="M23" s="17">
        <v>2</v>
      </c>
      <c r="N23" s="17">
        <v>1</v>
      </c>
      <c r="O23" s="17" t="s">
        <v>24</v>
      </c>
      <c r="P23" s="17" t="s">
        <v>25</v>
      </c>
      <c r="Q23" s="17">
        <v>1</v>
      </c>
      <c r="R23" s="17">
        <v>11</v>
      </c>
      <c r="S23" s="57" t="s">
        <v>39</v>
      </c>
      <c r="T23" s="17" t="s">
        <v>27</v>
      </c>
      <c r="U23" s="17"/>
    </row>
    <row r="24" spans="1:21" x14ac:dyDescent="0.3">
      <c r="A24" s="57">
        <v>18</v>
      </c>
      <c r="B24" s="96" t="s">
        <v>893</v>
      </c>
      <c r="C24" s="17">
        <v>4694</v>
      </c>
      <c r="D24" s="104" t="s">
        <v>885</v>
      </c>
      <c r="E24" s="34" t="s">
        <v>1010</v>
      </c>
      <c r="F24" s="34" t="s">
        <v>1011</v>
      </c>
      <c r="G24" s="91" t="s">
        <v>36</v>
      </c>
      <c r="H24" s="89" t="s">
        <v>21</v>
      </c>
      <c r="I24" s="90">
        <v>43952</v>
      </c>
      <c r="J24" s="63" t="str">
        <f t="shared" ca="1" si="0"/>
        <v xml:space="preserve">6 Tahun, 4 Bulan </v>
      </c>
      <c r="K24" s="59" t="s">
        <v>1012</v>
      </c>
      <c r="L24" s="59" t="s">
        <v>934</v>
      </c>
      <c r="M24" s="17">
        <v>1</v>
      </c>
      <c r="N24" s="17">
        <v>0</v>
      </c>
      <c r="O24" s="17" t="s">
        <v>224</v>
      </c>
      <c r="P24" s="17" t="s">
        <v>25</v>
      </c>
      <c r="Q24" s="17">
        <v>1</v>
      </c>
      <c r="R24" s="17">
        <v>9</v>
      </c>
      <c r="S24" s="17" t="s">
        <v>26</v>
      </c>
      <c r="T24" s="17" t="s">
        <v>26</v>
      </c>
      <c r="U24" s="17" t="s">
        <v>910</v>
      </c>
    </row>
    <row r="25" spans="1:21" x14ac:dyDescent="0.3">
      <c r="A25" s="57">
        <v>19</v>
      </c>
      <c r="B25" s="96" t="s">
        <v>845</v>
      </c>
      <c r="C25" s="17">
        <v>4695</v>
      </c>
      <c r="D25" s="104" t="s">
        <v>872</v>
      </c>
      <c r="E25" s="34" t="s">
        <v>948</v>
      </c>
      <c r="F25" s="34" t="s">
        <v>949</v>
      </c>
      <c r="G25" s="91" t="s">
        <v>20</v>
      </c>
      <c r="H25" s="89" t="s">
        <v>21</v>
      </c>
      <c r="I25" s="90">
        <v>43912</v>
      </c>
      <c r="J25" s="63" t="str">
        <f t="shared" ca="1" si="0"/>
        <v xml:space="preserve">6 Tahun, 6 Bulan </v>
      </c>
      <c r="K25" s="59" t="s">
        <v>950</v>
      </c>
      <c r="L25" s="59" t="s">
        <v>924</v>
      </c>
      <c r="M25" s="17">
        <v>1</v>
      </c>
      <c r="N25" s="17">
        <v>0</v>
      </c>
      <c r="O25" s="17" t="s">
        <v>33</v>
      </c>
      <c r="P25" s="17" t="s">
        <v>25</v>
      </c>
      <c r="Q25" s="17">
        <v>2</v>
      </c>
      <c r="R25" s="17">
        <v>10</v>
      </c>
      <c r="S25" s="17" t="s">
        <v>27</v>
      </c>
      <c r="T25" s="17" t="s">
        <v>39</v>
      </c>
      <c r="U25" s="17" t="s">
        <v>947</v>
      </c>
    </row>
    <row r="26" spans="1:21" x14ac:dyDescent="0.3">
      <c r="A26" s="57">
        <v>20</v>
      </c>
      <c r="B26" s="96" t="s">
        <v>891</v>
      </c>
      <c r="C26" s="17">
        <v>4696</v>
      </c>
      <c r="D26" s="104" t="s">
        <v>878</v>
      </c>
      <c r="E26" s="34" t="s">
        <v>975</v>
      </c>
      <c r="F26" s="34" t="s">
        <v>976</v>
      </c>
      <c r="G26" s="91" t="s">
        <v>20</v>
      </c>
      <c r="H26" s="89" t="s">
        <v>21</v>
      </c>
      <c r="I26" s="90">
        <v>43981</v>
      </c>
      <c r="J26" s="63" t="str">
        <f t="shared" ca="1" si="0"/>
        <v xml:space="preserve">6 Tahun, 3 Bulan </v>
      </c>
      <c r="K26" s="59" t="s">
        <v>977</v>
      </c>
      <c r="L26" s="59" t="s">
        <v>935</v>
      </c>
      <c r="M26" s="17">
        <v>1</v>
      </c>
      <c r="N26" s="17">
        <v>0</v>
      </c>
      <c r="O26" s="17" t="s">
        <v>59</v>
      </c>
      <c r="P26" s="17" t="s">
        <v>25</v>
      </c>
      <c r="Q26" s="17">
        <v>2</v>
      </c>
      <c r="R26" s="17">
        <v>10</v>
      </c>
      <c r="S26" s="17" t="s">
        <v>39</v>
      </c>
      <c r="T26" s="17" t="s">
        <v>39</v>
      </c>
      <c r="U26" s="17" t="s">
        <v>910</v>
      </c>
    </row>
    <row r="27" spans="1:21" x14ac:dyDescent="0.3">
      <c r="A27" s="57">
        <v>21</v>
      </c>
      <c r="B27" s="96" t="s">
        <v>866</v>
      </c>
      <c r="C27" s="17">
        <v>4697</v>
      </c>
      <c r="D27" s="104" t="s">
        <v>887</v>
      </c>
      <c r="E27" s="34" t="s">
        <v>985</v>
      </c>
      <c r="F27" s="34" t="s">
        <v>986</v>
      </c>
      <c r="G27" s="91" t="s">
        <v>20</v>
      </c>
      <c r="H27" s="89" t="s">
        <v>21</v>
      </c>
      <c r="I27" s="90">
        <v>43724</v>
      </c>
      <c r="J27" s="63" t="str">
        <f t="shared" ca="1" si="0"/>
        <v xml:space="preserve">7 Tahun, 0 Bulan </v>
      </c>
      <c r="K27" s="59" t="s">
        <v>987</v>
      </c>
      <c r="L27" s="59" t="s">
        <v>936</v>
      </c>
      <c r="M27" s="17">
        <v>1</v>
      </c>
      <c r="N27" s="17">
        <v>0</v>
      </c>
      <c r="O27" s="17" t="s">
        <v>48</v>
      </c>
      <c r="P27" s="17" t="s">
        <v>25</v>
      </c>
      <c r="Q27" s="17">
        <v>2</v>
      </c>
      <c r="R27" s="17">
        <v>10</v>
      </c>
      <c r="S27" s="17"/>
      <c r="T27" s="17" t="s">
        <v>27</v>
      </c>
      <c r="U27" s="17" t="s">
        <v>910</v>
      </c>
    </row>
    <row r="28" spans="1:21" x14ac:dyDescent="0.3">
      <c r="A28" s="57">
        <v>22</v>
      </c>
      <c r="B28" s="96" t="s">
        <v>859</v>
      </c>
      <c r="C28" s="17">
        <v>4698</v>
      </c>
      <c r="D28" s="104" t="s">
        <v>882</v>
      </c>
      <c r="E28" s="34" t="s">
        <v>968</v>
      </c>
      <c r="F28" s="34" t="s">
        <v>969</v>
      </c>
      <c r="G28" s="91" t="s">
        <v>20</v>
      </c>
      <c r="H28" s="89" t="s">
        <v>21</v>
      </c>
      <c r="I28" s="90">
        <v>44040</v>
      </c>
      <c r="J28" s="63" t="str">
        <f t="shared" ca="1" si="0"/>
        <v xml:space="preserve">6 Tahun, 1 Bulan </v>
      </c>
      <c r="K28" s="59" t="s">
        <v>51</v>
      </c>
      <c r="L28" s="59" t="s">
        <v>52</v>
      </c>
      <c r="M28" s="17">
        <v>2</v>
      </c>
      <c r="N28" s="17">
        <v>1</v>
      </c>
      <c r="O28" s="17" t="s">
        <v>48</v>
      </c>
      <c r="P28" s="17" t="s">
        <v>25</v>
      </c>
      <c r="Q28" s="17">
        <v>1</v>
      </c>
      <c r="R28" s="17">
        <v>11</v>
      </c>
      <c r="S28" s="17" t="s">
        <v>39</v>
      </c>
      <c r="T28" s="17" t="s">
        <v>26</v>
      </c>
      <c r="U28" s="17" t="s">
        <v>910</v>
      </c>
    </row>
    <row r="29" spans="1:21" x14ac:dyDescent="0.3">
      <c r="A29" s="57">
        <v>23</v>
      </c>
      <c r="B29" s="96" t="s">
        <v>895</v>
      </c>
      <c r="C29" s="17">
        <v>4699</v>
      </c>
      <c r="D29" s="104" t="s">
        <v>889</v>
      </c>
      <c r="E29" s="34" t="s">
        <v>896</v>
      </c>
      <c r="F29" s="34" t="s">
        <v>970</v>
      </c>
      <c r="G29" s="91" t="s">
        <v>20</v>
      </c>
      <c r="H29" s="89" t="s">
        <v>21</v>
      </c>
      <c r="I29" s="90">
        <v>43777</v>
      </c>
      <c r="J29" s="63" t="str">
        <f t="shared" ca="1" si="0"/>
        <v xml:space="preserve">6 Tahun, 10 Bulan </v>
      </c>
      <c r="K29" s="59" t="s">
        <v>971</v>
      </c>
      <c r="L29" s="59" t="s">
        <v>937</v>
      </c>
      <c r="M29" s="17">
        <v>1</v>
      </c>
      <c r="N29" s="17">
        <v>0</v>
      </c>
      <c r="O29" s="17" t="s">
        <v>33</v>
      </c>
      <c r="P29" s="17" t="s">
        <v>25</v>
      </c>
      <c r="Q29" s="17">
        <v>2</v>
      </c>
      <c r="R29" s="17">
        <v>11</v>
      </c>
      <c r="S29" s="17" t="s">
        <v>26</v>
      </c>
      <c r="T29" s="17" t="s">
        <v>39</v>
      </c>
      <c r="U29" s="17" t="s">
        <v>897</v>
      </c>
    </row>
    <row r="30" spans="1:21" x14ac:dyDescent="0.3">
      <c r="A30" s="57">
        <v>24</v>
      </c>
      <c r="B30" s="96" t="s">
        <v>856</v>
      </c>
      <c r="C30" s="17">
        <v>4700</v>
      </c>
      <c r="D30" s="104" t="s">
        <v>1033</v>
      </c>
      <c r="E30" s="34" t="s">
        <v>972</v>
      </c>
      <c r="F30" s="34" t="s">
        <v>973</v>
      </c>
      <c r="G30" s="91" t="s">
        <v>20</v>
      </c>
      <c r="H30" s="89" t="s">
        <v>21</v>
      </c>
      <c r="I30" s="90">
        <v>43702</v>
      </c>
      <c r="J30" s="63" t="str">
        <f t="shared" ca="1" si="0"/>
        <v xml:space="preserve">7 Tahun, 0 Bulan </v>
      </c>
      <c r="K30" s="59" t="s">
        <v>202</v>
      </c>
      <c r="L30" s="59" t="s">
        <v>333</v>
      </c>
      <c r="M30" s="17">
        <v>4</v>
      </c>
      <c r="N30" s="17">
        <v>3</v>
      </c>
      <c r="O30" s="17" t="s">
        <v>974</v>
      </c>
      <c r="P30" s="17" t="s">
        <v>25</v>
      </c>
      <c r="Q30" s="17">
        <v>2</v>
      </c>
      <c r="R30" s="17">
        <v>9</v>
      </c>
      <c r="S30" s="17" t="s">
        <v>27</v>
      </c>
      <c r="T30" s="17" t="s">
        <v>27</v>
      </c>
      <c r="U30" s="17"/>
    </row>
    <row r="31" spans="1:21" x14ac:dyDescent="0.3">
      <c r="A31" s="57">
        <v>25</v>
      </c>
      <c r="B31" s="96" t="s">
        <v>849</v>
      </c>
      <c r="C31" s="17">
        <v>4701</v>
      </c>
      <c r="D31" s="104" t="s">
        <v>1034</v>
      </c>
      <c r="E31" s="34" t="s">
        <v>978</v>
      </c>
      <c r="F31" s="34" t="s">
        <v>979</v>
      </c>
      <c r="G31" s="91" t="s">
        <v>20</v>
      </c>
      <c r="H31" s="89" t="s">
        <v>21</v>
      </c>
      <c r="I31" s="90">
        <v>43493</v>
      </c>
      <c r="J31" s="63" t="str">
        <f t="shared" ca="1" si="0"/>
        <v xml:space="preserve">7 Tahun, 7 Bulan </v>
      </c>
      <c r="K31" s="59" t="s">
        <v>238</v>
      </c>
      <c r="L31" s="59" t="s">
        <v>239</v>
      </c>
      <c r="M31" s="17">
        <v>3</v>
      </c>
      <c r="N31" s="17">
        <v>2</v>
      </c>
      <c r="O31" s="17" t="s">
        <v>33</v>
      </c>
      <c r="P31" s="17" t="s">
        <v>25</v>
      </c>
      <c r="Q31" s="17">
        <v>3</v>
      </c>
      <c r="R31" s="17">
        <v>9</v>
      </c>
      <c r="S31" s="17" t="s">
        <v>27</v>
      </c>
      <c r="T31" s="17" t="s">
        <v>27</v>
      </c>
      <c r="U31" s="17"/>
    </row>
    <row r="32" spans="1:21" x14ac:dyDescent="0.3">
      <c r="A32" s="57">
        <v>26</v>
      </c>
      <c r="B32" s="96" t="s">
        <v>867</v>
      </c>
      <c r="C32" s="17">
        <v>4702</v>
      </c>
      <c r="D32" s="104" t="s">
        <v>1035</v>
      </c>
      <c r="E32" s="34" t="s">
        <v>966</v>
      </c>
      <c r="F32" s="34" t="s">
        <v>967</v>
      </c>
      <c r="G32" s="91" t="s">
        <v>20</v>
      </c>
      <c r="H32" s="89" t="s">
        <v>871</v>
      </c>
      <c r="I32" s="90">
        <v>43829</v>
      </c>
      <c r="J32" s="63" t="str">
        <f t="shared" ca="1" si="0"/>
        <v xml:space="preserve">6 Tahun, 8 Bulan </v>
      </c>
      <c r="K32" s="59" t="s">
        <v>108</v>
      </c>
      <c r="L32" s="59" t="s">
        <v>109</v>
      </c>
      <c r="M32" s="17">
        <v>2</v>
      </c>
      <c r="N32" s="17">
        <v>1</v>
      </c>
      <c r="O32" s="17" t="s">
        <v>33</v>
      </c>
      <c r="P32" s="17" t="s">
        <v>25</v>
      </c>
      <c r="Q32" s="17">
        <v>3</v>
      </c>
      <c r="R32" s="17">
        <v>9</v>
      </c>
      <c r="S32" s="17" t="s">
        <v>27</v>
      </c>
      <c r="T32" s="17" t="s">
        <v>27</v>
      </c>
      <c r="U32" s="17"/>
    </row>
    <row r="33" spans="1:674" x14ac:dyDescent="0.3">
      <c r="A33" s="57">
        <v>27</v>
      </c>
      <c r="B33" s="96" t="s">
        <v>870</v>
      </c>
      <c r="C33" s="17">
        <v>4703</v>
      </c>
      <c r="D33" s="104" t="s">
        <v>1036</v>
      </c>
      <c r="E33" s="34" t="s">
        <v>960</v>
      </c>
      <c r="F33" s="34" t="s">
        <v>961</v>
      </c>
      <c r="G33" s="91" t="s">
        <v>20</v>
      </c>
      <c r="H33" s="89" t="s">
        <v>21</v>
      </c>
      <c r="I33" s="90">
        <v>43970</v>
      </c>
      <c r="J33" s="63" t="str">
        <f t="shared" ca="1" si="0"/>
        <v xml:space="preserve">6 Tahun, 4 Bulan </v>
      </c>
      <c r="K33" s="59" t="s">
        <v>962</v>
      </c>
      <c r="L33" s="59" t="s">
        <v>938</v>
      </c>
      <c r="M33" s="17">
        <v>1</v>
      </c>
      <c r="N33" s="17">
        <v>0</v>
      </c>
      <c r="O33" s="17" t="s">
        <v>33</v>
      </c>
      <c r="P33" s="17" t="s">
        <v>25</v>
      </c>
      <c r="Q33" s="17">
        <v>1</v>
      </c>
      <c r="R33" s="17">
        <v>11</v>
      </c>
      <c r="S33" s="17" t="s">
        <v>27</v>
      </c>
      <c r="T33" s="17" t="s">
        <v>27</v>
      </c>
      <c r="U33" s="17"/>
    </row>
    <row r="34" spans="1:674" x14ac:dyDescent="0.3">
      <c r="A34" s="57">
        <v>28</v>
      </c>
      <c r="B34" s="96" t="s">
        <v>864</v>
      </c>
      <c r="C34" s="17">
        <v>4704</v>
      </c>
      <c r="D34" s="104" t="s">
        <v>1023</v>
      </c>
      <c r="E34" s="34" t="s">
        <v>983</v>
      </c>
      <c r="F34" s="34" t="s">
        <v>984</v>
      </c>
      <c r="G34" s="91" t="s">
        <v>36</v>
      </c>
      <c r="H34" s="89" t="s">
        <v>107</v>
      </c>
      <c r="I34" s="90">
        <v>43760</v>
      </c>
      <c r="J34" s="63" t="str">
        <f t="shared" ca="1" si="0"/>
        <v xml:space="preserve">6 Tahun, 11 Bulan </v>
      </c>
      <c r="K34" s="59" t="s">
        <v>433</v>
      </c>
      <c r="L34" s="59" t="s">
        <v>434</v>
      </c>
      <c r="M34" s="17">
        <v>3</v>
      </c>
      <c r="N34" s="17">
        <v>2</v>
      </c>
      <c r="O34" s="17" t="s">
        <v>48</v>
      </c>
      <c r="P34" s="17" t="s">
        <v>25</v>
      </c>
      <c r="Q34" s="17">
        <v>2</v>
      </c>
      <c r="R34" s="17">
        <v>10</v>
      </c>
      <c r="S34" s="17" t="s">
        <v>26</v>
      </c>
      <c r="T34" s="17" t="s">
        <v>39</v>
      </c>
      <c r="U34" s="17"/>
    </row>
    <row r="35" spans="1:674" s="37" customFormat="1" x14ac:dyDescent="0.3">
      <c r="A35" s="57">
        <v>29</v>
      </c>
      <c r="B35" s="96" t="s">
        <v>865</v>
      </c>
      <c r="C35" s="17">
        <v>4705</v>
      </c>
      <c r="D35" s="104" t="s">
        <v>886</v>
      </c>
      <c r="E35" s="34" t="s">
        <v>963</v>
      </c>
      <c r="F35" s="34" t="s">
        <v>964</v>
      </c>
      <c r="G35" s="91" t="s">
        <v>20</v>
      </c>
      <c r="H35" s="89" t="s">
        <v>21</v>
      </c>
      <c r="I35" s="90">
        <v>43697</v>
      </c>
      <c r="J35" s="63" t="str">
        <f t="shared" ca="1" si="0"/>
        <v xml:space="preserve">7 Tahun, 1 Bulan </v>
      </c>
      <c r="K35" s="59" t="s">
        <v>965</v>
      </c>
      <c r="L35" s="59" t="s">
        <v>939</v>
      </c>
      <c r="M35" s="17">
        <v>2</v>
      </c>
      <c r="N35" s="17">
        <v>1</v>
      </c>
      <c r="O35" s="17" t="s">
        <v>452</v>
      </c>
      <c r="P35" s="17" t="s">
        <v>59</v>
      </c>
      <c r="Q35" s="17">
        <v>1</v>
      </c>
      <c r="R35" s="17">
        <v>11</v>
      </c>
      <c r="S35" s="17" t="s">
        <v>27</v>
      </c>
      <c r="T35" s="17" t="s">
        <v>39</v>
      </c>
      <c r="U35" s="17" t="s">
        <v>910</v>
      </c>
    </row>
    <row r="36" spans="1:674" s="37" customFormat="1" x14ac:dyDescent="0.3">
      <c r="A36" s="57">
        <v>30</v>
      </c>
      <c r="B36" s="96" t="s">
        <v>1025</v>
      </c>
      <c r="C36" s="17">
        <v>4706</v>
      </c>
      <c r="D36" s="104"/>
      <c r="E36" s="34"/>
      <c r="F36" s="34"/>
      <c r="G36" s="95" t="s">
        <v>20</v>
      </c>
      <c r="H36" s="89" t="s">
        <v>21</v>
      </c>
      <c r="I36" s="90">
        <v>43682</v>
      </c>
      <c r="J36" s="63" t="str">
        <f t="shared" ca="1" si="0"/>
        <v xml:space="preserve">7 Tahun, 1 Bulan </v>
      </c>
      <c r="K36" s="59" t="s">
        <v>1026</v>
      </c>
      <c r="L36" s="59" t="s">
        <v>1027</v>
      </c>
      <c r="M36" s="17"/>
      <c r="N36" s="17"/>
      <c r="O36" s="17" t="s">
        <v>48</v>
      </c>
      <c r="P36" s="17" t="s">
        <v>25</v>
      </c>
      <c r="Q36" s="17">
        <v>3</v>
      </c>
      <c r="R36" s="17">
        <v>9</v>
      </c>
      <c r="S36" s="17" t="s">
        <v>26</v>
      </c>
      <c r="T36" s="17" t="s">
        <v>27</v>
      </c>
      <c r="U36" s="17"/>
    </row>
    <row r="37" spans="1:674" s="37" customFormat="1" x14ac:dyDescent="0.3">
      <c r="A37" s="57">
        <v>31</v>
      </c>
      <c r="B37" s="96" t="s">
        <v>861</v>
      </c>
      <c r="C37" s="17">
        <v>4707</v>
      </c>
      <c r="D37" s="104" t="s">
        <v>1037</v>
      </c>
      <c r="E37" s="34" t="s">
        <v>980</v>
      </c>
      <c r="F37" s="34" t="s">
        <v>981</v>
      </c>
      <c r="G37" s="91" t="s">
        <v>36</v>
      </c>
      <c r="H37" s="89" t="s">
        <v>21</v>
      </c>
      <c r="I37" s="90">
        <v>43982</v>
      </c>
      <c r="J37" s="63" t="str">
        <f t="shared" ca="1" si="0"/>
        <v xml:space="preserve">6 Tahun, 3 Bulan </v>
      </c>
      <c r="K37" s="59" t="s">
        <v>982</v>
      </c>
      <c r="L37" s="59" t="s">
        <v>940</v>
      </c>
      <c r="M37" s="17">
        <v>1</v>
      </c>
      <c r="N37" s="17">
        <v>1</v>
      </c>
      <c r="O37" s="17" t="s">
        <v>24</v>
      </c>
      <c r="P37" s="17" t="s">
        <v>25</v>
      </c>
      <c r="Q37" s="17">
        <v>2</v>
      </c>
      <c r="R37" s="17">
        <v>9</v>
      </c>
      <c r="S37" s="17" t="s">
        <v>39</v>
      </c>
      <c r="T37" s="17" t="s">
        <v>27</v>
      </c>
      <c r="U37" s="17"/>
    </row>
    <row r="38" spans="1:674" s="37" customFormat="1" x14ac:dyDescent="0.3">
      <c r="A38" s="57">
        <v>32</v>
      </c>
      <c r="B38" s="96" t="s">
        <v>894</v>
      </c>
      <c r="C38" s="17">
        <v>4708</v>
      </c>
      <c r="D38" s="104" t="s">
        <v>1038</v>
      </c>
      <c r="E38" s="34" t="s">
        <v>1013</v>
      </c>
      <c r="F38" s="34" t="s">
        <v>1014</v>
      </c>
      <c r="G38" s="91" t="s">
        <v>20</v>
      </c>
      <c r="H38" s="89" t="s">
        <v>21</v>
      </c>
      <c r="I38" s="90">
        <v>43963</v>
      </c>
      <c r="J38" s="63" t="str">
        <f t="shared" ca="1" si="0"/>
        <v xml:space="preserve">6 Tahun, 4 Bulan </v>
      </c>
      <c r="K38" s="59" t="s">
        <v>210</v>
      </c>
      <c r="L38" s="59" t="s">
        <v>211</v>
      </c>
      <c r="M38" s="17">
        <v>2</v>
      </c>
      <c r="N38" s="17">
        <v>1</v>
      </c>
      <c r="O38" s="17" t="s">
        <v>48</v>
      </c>
      <c r="P38" s="17" t="s">
        <v>25</v>
      </c>
      <c r="Q38" s="17">
        <v>2</v>
      </c>
      <c r="R38" s="17">
        <v>8</v>
      </c>
      <c r="S38" s="17" t="s">
        <v>39</v>
      </c>
      <c r="T38" s="17" t="s">
        <v>39</v>
      </c>
      <c r="U38" s="17"/>
    </row>
    <row r="39" spans="1:674" s="37" customFormat="1" x14ac:dyDescent="0.3">
      <c r="A39" s="57">
        <v>33</v>
      </c>
      <c r="B39" s="96" t="s">
        <v>868</v>
      </c>
      <c r="C39" s="17">
        <v>4709</v>
      </c>
      <c r="D39" s="104" t="s">
        <v>888</v>
      </c>
      <c r="E39" s="34" t="s">
        <v>957</v>
      </c>
      <c r="F39" s="34" t="s">
        <v>958</v>
      </c>
      <c r="G39" s="91" t="s">
        <v>36</v>
      </c>
      <c r="H39" s="89" t="s">
        <v>21</v>
      </c>
      <c r="I39" s="90">
        <v>43628</v>
      </c>
      <c r="J39" s="63" t="str">
        <f t="shared" ca="1" si="0"/>
        <v xml:space="preserve">7 Tahun, 3 Bulan </v>
      </c>
      <c r="K39" s="59" t="s">
        <v>959</v>
      </c>
      <c r="L39" s="59" t="s">
        <v>941</v>
      </c>
      <c r="M39" s="17">
        <v>1</v>
      </c>
      <c r="N39" s="17">
        <v>0</v>
      </c>
      <c r="O39" s="17" t="s">
        <v>24</v>
      </c>
      <c r="P39" s="17" t="s">
        <v>25</v>
      </c>
      <c r="Q39" s="17">
        <v>2</v>
      </c>
      <c r="R39" s="17">
        <v>10</v>
      </c>
      <c r="S39" s="17" t="s">
        <v>39</v>
      </c>
      <c r="T39" s="17" t="s">
        <v>27</v>
      </c>
      <c r="U39" s="17" t="s">
        <v>910</v>
      </c>
    </row>
    <row r="40" spans="1:674" s="37" customFormat="1" x14ac:dyDescent="0.3">
      <c r="A40" s="57">
        <v>34</v>
      </c>
      <c r="B40" s="96" t="s">
        <v>869</v>
      </c>
      <c r="C40" s="17">
        <v>4710</v>
      </c>
      <c r="D40" s="104" t="s">
        <v>1039</v>
      </c>
      <c r="E40" s="34" t="s">
        <v>988</v>
      </c>
      <c r="F40" s="34" t="s">
        <v>989</v>
      </c>
      <c r="G40" s="91" t="s">
        <v>36</v>
      </c>
      <c r="H40" s="89" t="s">
        <v>21</v>
      </c>
      <c r="I40" s="90">
        <v>43859</v>
      </c>
      <c r="J40" s="63" t="str">
        <f t="shared" ca="1" si="0"/>
        <v xml:space="preserve">6 Tahun, 7 Bulan </v>
      </c>
      <c r="K40" s="59" t="s">
        <v>990</v>
      </c>
      <c r="L40" s="59" t="s">
        <v>942</v>
      </c>
      <c r="M40" s="17">
        <v>1</v>
      </c>
      <c r="N40" s="17">
        <v>1</v>
      </c>
      <c r="O40" s="17" t="s">
        <v>224</v>
      </c>
      <c r="P40" s="17" t="s">
        <v>25</v>
      </c>
      <c r="Q40" s="17">
        <v>3</v>
      </c>
      <c r="R40" s="17">
        <v>10</v>
      </c>
      <c r="S40" s="17" t="s">
        <v>27</v>
      </c>
      <c r="T40" s="17" t="s">
        <v>39</v>
      </c>
      <c r="U40" s="17"/>
    </row>
    <row r="41" spans="1:674" s="37" customFormat="1" x14ac:dyDescent="0.3">
      <c r="A41" s="57"/>
      <c r="B41" s="98"/>
      <c r="C41" s="17"/>
      <c r="D41" s="17"/>
      <c r="E41" s="17"/>
      <c r="F41" s="17"/>
      <c r="G41" s="60"/>
      <c r="H41" s="17"/>
      <c r="I41" s="35"/>
      <c r="J41" s="63"/>
      <c r="K41" s="59"/>
      <c r="L41" s="59"/>
      <c r="M41" s="17"/>
      <c r="N41" s="17"/>
      <c r="O41" s="17"/>
      <c r="P41" s="17"/>
      <c r="Q41" s="17"/>
      <c r="R41" s="17"/>
      <c r="S41" s="17"/>
      <c r="T41" s="17"/>
      <c r="U41" s="17"/>
    </row>
    <row r="42" spans="1:674" x14ac:dyDescent="0.3">
      <c r="A42" s="1"/>
      <c r="B42" s="99"/>
      <c r="C42" s="1"/>
      <c r="D42" s="1"/>
      <c r="E42" s="1"/>
      <c r="F42" s="1"/>
      <c r="G42" s="1"/>
      <c r="I42" s="3"/>
      <c r="J42" s="4"/>
      <c r="M42" s="1"/>
      <c r="N42" s="1"/>
      <c r="O42" s="1"/>
      <c r="P42" s="1"/>
      <c r="Q42" s="1"/>
      <c r="R42" s="1"/>
      <c r="S42" s="1"/>
    </row>
    <row r="43" spans="1:674" x14ac:dyDescent="0.3">
      <c r="A43" s="6"/>
      <c r="B43" s="100"/>
      <c r="C43" s="7" t="s">
        <v>212</v>
      </c>
      <c r="D43" s="7"/>
      <c r="E43" s="7"/>
      <c r="F43" s="7"/>
      <c r="G43" s="7">
        <f>COUNTIF(G7:G41,"L")</f>
        <v>21</v>
      </c>
      <c r="I43" s="18"/>
      <c r="J43" s="7"/>
      <c r="K43" s="7"/>
      <c r="L43" s="7"/>
      <c r="M43" s="6"/>
      <c r="N43" s="6"/>
      <c r="O43" s="6"/>
      <c r="P43" s="6"/>
    </row>
    <row r="44" spans="1:674" s="37" customFormat="1" x14ac:dyDescent="0.3">
      <c r="A44" s="6"/>
      <c r="B44" s="100"/>
      <c r="C44" s="7" t="s">
        <v>213</v>
      </c>
      <c r="D44" s="7"/>
      <c r="E44" s="7"/>
      <c r="F44" s="7"/>
      <c r="G44" s="7">
        <f>COUNTIF(G7:G41,"P")</f>
        <v>13</v>
      </c>
      <c r="H44" s="39"/>
      <c r="I44" s="18"/>
      <c r="J44" s="7"/>
      <c r="K44" s="7"/>
      <c r="L44" s="7"/>
      <c r="M44" s="6"/>
      <c r="N44" s="6"/>
      <c r="O44" s="6"/>
      <c r="P44" s="6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</row>
    <row r="45" spans="1:674" s="37" customFormat="1" x14ac:dyDescent="0.3">
      <c r="A45" s="6"/>
      <c r="B45" s="100"/>
      <c r="C45" s="26" t="s">
        <v>214</v>
      </c>
      <c r="D45" s="7"/>
      <c r="E45" s="7"/>
      <c r="F45" s="7"/>
      <c r="G45" s="26">
        <f>SUM(G43:G44)</f>
        <v>34</v>
      </c>
      <c r="H45" s="39"/>
      <c r="I45" s="18"/>
      <c r="J45" s="7"/>
      <c r="K45" s="7"/>
      <c r="L45" s="7"/>
      <c r="M45" s="6"/>
      <c r="N45" s="6"/>
      <c r="O45" s="6"/>
      <c r="P45" s="6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</row>
    <row r="46" spans="1:674" s="37" customFormat="1" x14ac:dyDescent="0.3">
      <c r="A46" s="6"/>
      <c r="B46" s="101" t="s">
        <v>215</v>
      </c>
      <c r="C46" s="10"/>
      <c r="D46" s="10"/>
      <c r="E46" s="10"/>
      <c r="F46" s="10"/>
      <c r="G46" s="9"/>
      <c r="H46" s="40"/>
      <c r="I46" s="19"/>
      <c r="J46" s="12"/>
      <c r="K46" s="6"/>
      <c r="L46" s="9"/>
      <c r="M46" s="5"/>
      <c r="N46" s="16" t="s">
        <v>920</v>
      </c>
      <c r="O46" s="9"/>
      <c r="P46" s="6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</row>
    <row r="47" spans="1:674" x14ac:dyDescent="0.3">
      <c r="A47" s="6"/>
      <c r="B47" s="101" t="s">
        <v>216</v>
      </c>
      <c r="C47" s="10"/>
      <c r="D47" s="10"/>
      <c r="E47" s="10"/>
      <c r="F47" s="10"/>
      <c r="G47" s="9"/>
      <c r="H47" s="40"/>
      <c r="I47" s="19"/>
      <c r="J47" s="12"/>
      <c r="K47" s="6"/>
      <c r="L47" s="9"/>
      <c r="M47" s="6"/>
      <c r="N47" s="16" t="s">
        <v>663</v>
      </c>
      <c r="O47" s="6"/>
      <c r="P47" s="6"/>
    </row>
    <row r="48" spans="1:674" s="37" customFormat="1" x14ac:dyDescent="0.3">
      <c r="A48" s="6"/>
      <c r="B48" s="101"/>
      <c r="C48" s="10"/>
      <c r="D48" s="10"/>
      <c r="E48" s="10"/>
      <c r="F48" s="10"/>
      <c r="G48" s="9"/>
      <c r="H48" s="40"/>
      <c r="I48" s="19"/>
      <c r="J48" s="12"/>
      <c r="K48" s="6"/>
      <c r="L48" s="9"/>
      <c r="M48" s="6"/>
      <c r="N48" s="16"/>
      <c r="O48" s="6"/>
      <c r="P48" s="6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</row>
    <row r="49" spans="1:674" s="37" customFormat="1" x14ac:dyDescent="0.3">
      <c r="A49" s="6"/>
      <c r="B49" s="101"/>
      <c r="C49" s="10"/>
      <c r="D49" s="10"/>
      <c r="E49" s="10"/>
      <c r="F49" s="10"/>
      <c r="G49" s="9"/>
      <c r="H49" s="40"/>
      <c r="I49" s="19"/>
      <c r="J49" s="12"/>
      <c r="K49" s="6"/>
      <c r="L49" s="9"/>
      <c r="M49" s="6"/>
      <c r="N49" s="16"/>
      <c r="O49" s="6"/>
      <c r="P49" s="6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</row>
    <row r="50" spans="1:674" x14ac:dyDescent="0.3">
      <c r="A50" s="6"/>
      <c r="B50" s="101"/>
      <c r="C50" s="10"/>
      <c r="D50" s="10"/>
      <c r="E50" s="10"/>
      <c r="F50" s="10"/>
      <c r="G50" s="9"/>
      <c r="H50" s="40"/>
      <c r="I50" s="19"/>
      <c r="J50" s="12"/>
      <c r="K50" s="6"/>
      <c r="L50" s="9"/>
      <c r="M50" s="6"/>
      <c r="N50" s="16"/>
      <c r="O50" s="6"/>
      <c r="P50" s="6"/>
    </row>
    <row r="51" spans="1:674" x14ac:dyDescent="0.3">
      <c r="A51" s="6"/>
      <c r="B51" s="102" t="s">
        <v>217</v>
      </c>
      <c r="C51" s="10"/>
      <c r="D51" s="10"/>
      <c r="E51" s="10"/>
      <c r="F51" s="10"/>
      <c r="G51" s="9"/>
      <c r="H51" s="40"/>
      <c r="I51" s="20"/>
      <c r="J51" s="15"/>
      <c r="K51" s="6"/>
      <c r="L51" s="9"/>
      <c r="M51" s="113" t="s">
        <v>460</v>
      </c>
      <c r="N51" s="113"/>
      <c r="O51" s="113"/>
      <c r="P51" s="6"/>
    </row>
    <row r="52" spans="1:674" s="38" customFormat="1" ht="22.5" customHeight="1" x14ac:dyDescent="0.3">
      <c r="A52" s="6"/>
      <c r="B52" s="101" t="s">
        <v>218</v>
      </c>
      <c r="C52" s="10"/>
      <c r="D52" s="10"/>
      <c r="E52" s="10"/>
      <c r="F52" s="10"/>
      <c r="G52" s="9"/>
      <c r="H52" s="40"/>
      <c r="I52" s="19"/>
      <c r="J52" s="16"/>
      <c r="K52" s="6"/>
      <c r="L52" s="9"/>
      <c r="M52" s="114" t="s">
        <v>667</v>
      </c>
      <c r="N52" s="114"/>
      <c r="O52" s="114"/>
      <c r="P52" s="6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</row>
  </sheetData>
  <sortState xmlns:xlrd2="http://schemas.microsoft.com/office/spreadsheetml/2017/richdata2" ref="B7:U40">
    <sortCondition ref="B7:B40"/>
  </sortState>
  <mergeCells count="23">
    <mergeCell ref="M51:O51"/>
    <mergeCell ref="M52:O52"/>
    <mergeCell ref="E5:E6"/>
    <mergeCell ref="F5:F6"/>
    <mergeCell ref="Q5:R5"/>
    <mergeCell ref="N5:N6"/>
    <mergeCell ref="O5:P5"/>
    <mergeCell ref="U5:U6"/>
    <mergeCell ref="J5:J6"/>
    <mergeCell ref="K5:K6"/>
    <mergeCell ref="A1:S1"/>
    <mergeCell ref="A2:S2"/>
    <mergeCell ref="A3:S3"/>
    <mergeCell ref="A5:A6"/>
    <mergeCell ref="B5:B6"/>
    <mergeCell ref="C5:C6"/>
    <mergeCell ref="D5:D6"/>
    <mergeCell ref="G5:G6"/>
    <mergeCell ref="H5:H6"/>
    <mergeCell ref="I5:I6"/>
    <mergeCell ref="S5:T5"/>
    <mergeCell ref="L5:L6"/>
    <mergeCell ref="M5:M6"/>
  </mergeCells>
  <pageMargins left="0.5" right="0.5" top="0.5" bottom="0.5" header="0.3" footer="0.3"/>
  <pageSetup paperSize="256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4"/>
  <sheetViews>
    <sheetView view="pageBreakPreview" zoomScale="33" zoomScaleNormal="70" zoomScaleSheetLayoutView="33" workbookViewId="0">
      <selection activeCell="H7" sqref="H7:H38"/>
    </sheetView>
  </sheetViews>
  <sheetFormatPr defaultRowHeight="18.75" x14ac:dyDescent="0.3"/>
  <cols>
    <col min="1" max="1" width="7" bestFit="1" customWidth="1"/>
    <col min="2" max="2" width="43.28515625" style="83" bestFit="1" customWidth="1"/>
    <col min="3" max="3" width="9.85546875" customWidth="1"/>
    <col min="4" max="4" width="16.7109375" customWidth="1"/>
    <col min="5" max="5" width="32.7109375" customWidth="1"/>
    <col min="6" max="6" width="6.7109375" customWidth="1"/>
    <col min="7" max="7" width="15.7109375" customWidth="1"/>
    <col min="8" max="8" width="29" bestFit="1" customWidth="1"/>
    <col min="9" max="9" width="23.28515625" bestFit="1" customWidth="1"/>
    <col min="10" max="11" width="31" customWidth="1"/>
    <col min="12" max="12" width="30.140625" customWidth="1"/>
    <col min="13" max="13" width="23.42578125" customWidth="1"/>
    <col min="14" max="15" width="19.42578125" bestFit="1" customWidth="1"/>
    <col min="16" max="16" width="11.85546875" bestFit="1" customWidth="1"/>
    <col min="17" max="17" width="14.140625" customWidth="1"/>
    <col min="18" max="18" width="8" customWidth="1"/>
    <col min="19" max="19" width="7.28515625" bestFit="1" customWidth="1"/>
  </cols>
  <sheetData>
    <row r="1" spans="1:19" ht="21" x14ac:dyDescent="0.35">
      <c r="A1" s="108" t="s">
        <v>1015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ht="21" x14ac:dyDescent="0.3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1:19" ht="21" x14ac:dyDescent="0.35">
      <c r="A3" s="108" t="s">
        <v>666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1:19" x14ac:dyDescent="0.3">
      <c r="A4" s="5"/>
      <c r="B4" s="5"/>
      <c r="C4" s="10"/>
      <c r="D4" s="10" t="s">
        <v>256</v>
      </c>
      <c r="E4" s="10"/>
      <c r="F4" s="1"/>
      <c r="G4" s="10"/>
      <c r="H4" s="28"/>
      <c r="I4" s="28"/>
      <c r="J4" s="5"/>
      <c r="K4" s="5"/>
      <c r="L4" s="1"/>
      <c r="M4" s="1"/>
      <c r="N4" s="1"/>
      <c r="O4" s="1"/>
      <c r="P4" s="1"/>
      <c r="Q4" s="1"/>
      <c r="R4" s="1"/>
      <c r="S4" s="1"/>
    </row>
    <row r="5" spans="1:19" x14ac:dyDescent="0.25">
      <c r="A5" s="110" t="s">
        <v>1</v>
      </c>
      <c r="B5" s="110" t="s">
        <v>2</v>
      </c>
      <c r="C5" s="110" t="s">
        <v>3</v>
      </c>
      <c r="D5" s="110" t="s">
        <v>4</v>
      </c>
      <c r="E5" s="111" t="s">
        <v>754</v>
      </c>
      <c r="F5" s="110" t="s">
        <v>260</v>
      </c>
      <c r="G5" s="110" t="s">
        <v>6</v>
      </c>
      <c r="H5" s="117" t="s">
        <v>7</v>
      </c>
      <c r="I5" s="118" t="s">
        <v>8</v>
      </c>
      <c r="J5" s="110" t="s">
        <v>9</v>
      </c>
      <c r="K5" s="110" t="s">
        <v>10</v>
      </c>
      <c r="L5" s="110" t="s">
        <v>11</v>
      </c>
      <c r="M5" s="110"/>
      <c r="N5" s="110" t="s">
        <v>12</v>
      </c>
      <c r="O5" s="110"/>
      <c r="P5" s="110" t="s">
        <v>13</v>
      </c>
      <c r="Q5" s="110" t="s">
        <v>14</v>
      </c>
      <c r="R5" s="110" t="s">
        <v>15</v>
      </c>
      <c r="S5" s="110"/>
    </row>
    <row r="6" spans="1:19" x14ac:dyDescent="0.25">
      <c r="A6" s="110"/>
      <c r="B6" s="110"/>
      <c r="C6" s="110"/>
      <c r="D6" s="110"/>
      <c r="E6" s="112"/>
      <c r="F6" s="110"/>
      <c r="G6" s="110"/>
      <c r="H6" s="117"/>
      <c r="I6" s="119"/>
      <c r="J6" s="110"/>
      <c r="K6" s="110"/>
      <c r="L6" s="27" t="s">
        <v>9</v>
      </c>
      <c r="M6" s="27" t="s">
        <v>10</v>
      </c>
      <c r="N6" s="27" t="s">
        <v>9</v>
      </c>
      <c r="O6" s="27" t="s">
        <v>10</v>
      </c>
      <c r="P6" s="110"/>
      <c r="Q6" s="110"/>
      <c r="R6" s="27" t="s">
        <v>16</v>
      </c>
      <c r="S6" s="27" t="s">
        <v>17</v>
      </c>
    </row>
    <row r="7" spans="1:19" x14ac:dyDescent="0.3">
      <c r="A7" s="27">
        <v>1</v>
      </c>
      <c r="B7" s="84" t="s">
        <v>802</v>
      </c>
      <c r="C7" s="17">
        <v>4644</v>
      </c>
      <c r="D7" s="80" t="s">
        <v>796</v>
      </c>
      <c r="E7" s="34" t="s">
        <v>755</v>
      </c>
      <c r="F7" s="17" t="s">
        <v>20</v>
      </c>
      <c r="G7" s="17" t="s">
        <v>679</v>
      </c>
      <c r="H7" s="78">
        <v>43321</v>
      </c>
      <c r="I7" s="69" t="str">
        <f ca="1">DATEDIF(H7,TODAY(),"Y")&amp;" Tahun "&amp;DATEDIF(H7,TODAY(),"YM")&amp;" Bulan "</f>
        <v xml:space="preserve">8 Tahun 1 Bulan </v>
      </c>
      <c r="J7" s="17" t="s">
        <v>53</v>
      </c>
      <c r="K7" s="17" t="s">
        <v>790</v>
      </c>
      <c r="L7" s="17" t="s">
        <v>53</v>
      </c>
      <c r="M7" s="17"/>
      <c r="N7" s="17"/>
      <c r="O7" s="17"/>
      <c r="P7" s="17"/>
      <c r="Q7" s="17"/>
      <c r="R7" s="17"/>
      <c r="S7" s="17"/>
    </row>
    <row r="8" spans="1:19" x14ac:dyDescent="0.3">
      <c r="A8" s="27">
        <v>2</v>
      </c>
      <c r="B8" s="84" t="s">
        <v>803</v>
      </c>
      <c r="C8" s="17">
        <v>4645</v>
      </c>
      <c r="D8" s="81">
        <v>3194913376</v>
      </c>
      <c r="E8" s="34" t="s">
        <v>832</v>
      </c>
      <c r="F8" s="17" t="s">
        <v>36</v>
      </c>
      <c r="G8" s="17" t="s">
        <v>679</v>
      </c>
      <c r="H8" s="78">
        <v>43522</v>
      </c>
      <c r="I8" s="69" t="str">
        <f t="shared" ref="I8:I38" ca="1" si="0">DATEDIF(H8,TODAY(),"Y")&amp;" Tahun "&amp;DATEDIF(H8,TODAY(),"YM")&amp;" Bulan "</f>
        <v xml:space="preserve">7 Tahun 6 Bulan </v>
      </c>
      <c r="J8" s="17"/>
      <c r="K8" s="17" t="s">
        <v>691</v>
      </c>
      <c r="L8" s="17"/>
      <c r="M8" s="17" t="s">
        <v>25</v>
      </c>
      <c r="N8" s="17">
        <v>0</v>
      </c>
      <c r="O8" s="17" t="s">
        <v>39</v>
      </c>
      <c r="P8" s="17">
        <v>3</v>
      </c>
      <c r="Q8" s="17">
        <v>2</v>
      </c>
      <c r="R8" s="17">
        <v>3</v>
      </c>
      <c r="S8" s="17">
        <v>9</v>
      </c>
    </row>
    <row r="9" spans="1:19" x14ac:dyDescent="0.3">
      <c r="A9" s="27">
        <v>3</v>
      </c>
      <c r="B9" s="84" t="s">
        <v>804</v>
      </c>
      <c r="C9" s="17">
        <v>4646</v>
      </c>
      <c r="D9" s="80" t="s">
        <v>797</v>
      </c>
      <c r="E9" s="34" t="s">
        <v>756</v>
      </c>
      <c r="F9" s="17" t="s">
        <v>20</v>
      </c>
      <c r="G9" s="17" t="s">
        <v>679</v>
      </c>
      <c r="H9" s="78">
        <v>43280</v>
      </c>
      <c r="I9" s="69" t="str">
        <f t="shared" ca="1" si="0"/>
        <v xml:space="preserve">8 Tahun 2 Bulan </v>
      </c>
      <c r="J9" s="17" t="s">
        <v>689</v>
      </c>
      <c r="K9" s="17" t="s">
        <v>690</v>
      </c>
      <c r="L9" s="17" t="s">
        <v>255</v>
      </c>
      <c r="M9" s="17" t="s">
        <v>25</v>
      </c>
      <c r="N9" s="17" t="s">
        <v>27</v>
      </c>
      <c r="O9" s="17" t="s">
        <v>39</v>
      </c>
      <c r="P9" s="17">
        <v>1</v>
      </c>
      <c r="Q9" s="17">
        <v>0</v>
      </c>
      <c r="R9" s="17">
        <v>1</v>
      </c>
      <c r="S9" s="17">
        <v>10</v>
      </c>
    </row>
    <row r="10" spans="1:19" x14ac:dyDescent="0.3">
      <c r="A10" s="27">
        <v>4</v>
      </c>
      <c r="B10" s="84" t="s">
        <v>805</v>
      </c>
      <c r="C10" s="17">
        <v>4647</v>
      </c>
      <c r="D10" s="80" t="s">
        <v>798</v>
      </c>
      <c r="E10" s="34" t="s">
        <v>757</v>
      </c>
      <c r="F10" s="17" t="s">
        <v>36</v>
      </c>
      <c r="G10" s="17" t="s">
        <v>679</v>
      </c>
      <c r="H10" s="78">
        <v>43518</v>
      </c>
      <c r="I10" s="69" t="str">
        <f t="shared" ca="1" si="0"/>
        <v xml:space="preserve">7 Tahun 7 Bulan </v>
      </c>
      <c r="J10" s="17" t="s">
        <v>717</v>
      </c>
      <c r="K10" s="17" t="s">
        <v>718</v>
      </c>
      <c r="L10" s="17" t="s">
        <v>250</v>
      </c>
      <c r="M10" s="17" t="s">
        <v>25</v>
      </c>
      <c r="N10" s="17" t="s">
        <v>27</v>
      </c>
      <c r="O10" s="17" t="s">
        <v>26</v>
      </c>
      <c r="P10" s="17">
        <v>2</v>
      </c>
      <c r="Q10" s="17">
        <v>1</v>
      </c>
      <c r="R10" s="17">
        <v>1</v>
      </c>
      <c r="S10" s="17">
        <v>11</v>
      </c>
    </row>
    <row r="11" spans="1:19" x14ac:dyDescent="0.3">
      <c r="A11" s="27">
        <v>5</v>
      </c>
      <c r="B11" s="84" t="s">
        <v>806</v>
      </c>
      <c r="C11" s="17">
        <v>4648</v>
      </c>
      <c r="D11" s="80" t="s">
        <v>799</v>
      </c>
      <c r="E11" s="34" t="s">
        <v>758</v>
      </c>
      <c r="F11" s="17" t="s">
        <v>36</v>
      </c>
      <c r="G11" s="17" t="s">
        <v>679</v>
      </c>
      <c r="H11" s="78">
        <v>43504</v>
      </c>
      <c r="I11" s="69" t="str">
        <f t="shared" ca="1" si="0"/>
        <v xml:space="preserve">7 Tahun 7 Bulan </v>
      </c>
      <c r="J11" s="17" t="s">
        <v>786</v>
      </c>
      <c r="K11" s="17" t="s">
        <v>719</v>
      </c>
      <c r="L11" s="17" t="s">
        <v>255</v>
      </c>
      <c r="M11" s="17" t="s">
        <v>25</v>
      </c>
      <c r="N11" s="17" t="s">
        <v>27</v>
      </c>
      <c r="O11" s="17" t="s">
        <v>27</v>
      </c>
      <c r="P11" s="17">
        <v>1</v>
      </c>
      <c r="Q11" s="17">
        <v>0</v>
      </c>
      <c r="R11" s="17">
        <v>3</v>
      </c>
      <c r="S11" s="17">
        <v>9</v>
      </c>
    </row>
    <row r="12" spans="1:19" x14ac:dyDescent="0.3">
      <c r="A12" s="27">
        <v>6</v>
      </c>
      <c r="B12" s="84" t="s">
        <v>833</v>
      </c>
      <c r="C12" s="17">
        <v>4649</v>
      </c>
      <c r="D12" s="81">
        <v>3191364451</v>
      </c>
      <c r="E12" s="34" t="s">
        <v>759</v>
      </c>
      <c r="F12" s="17" t="s">
        <v>36</v>
      </c>
      <c r="G12" s="17" t="s">
        <v>679</v>
      </c>
      <c r="H12" s="78">
        <v>43606</v>
      </c>
      <c r="I12" s="69" t="str">
        <f t="shared" ca="1" si="0"/>
        <v xml:space="preserve">7 Tahun 4 Bulan </v>
      </c>
      <c r="J12" s="17" t="s">
        <v>703</v>
      </c>
      <c r="K12" s="17" t="s">
        <v>704</v>
      </c>
      <c r="L12" s="17" t="s">
        <v>224</v>
      </c>
      <c r="M12" s="17" t="s">
        <v>25</v>
      </c>
      <c r="N12" s="17" t="s">
        <v>27</v>
      </c>
      <c r="O12" s="17" t="s">
        <v>39</v>
      </c>
      <c r="P12" s="17">
        <v>3</v>
      </c>
      <c r="Q12" s="17">
        <v>2</v>
      </c>
      <c r="R12" s="17">
        <v>2</v>
      </c>
      <c r="S12" s="17">
        <v>8</v>
      </c>
    </row>
    <row r="13" spans="1:19" x14ac:dyDescent="0.3">
      <c r="A13" s="27">
        <v>7</v>
      </c>
      <c r="B13" s="84" t="s">
        <v>807</v>
      </c>
      <c r="C13" s="17">
        <v>4650</v>
      </c>
      <c r="D13" s="81">
        <v>3192441611</v>
      </c>
      <c r="E13" s="34" t="s">
        <v>760</v>
      </c>
      <c r="F13" s="17" t="s">
        <v>20</v>
      </c>
      <c r="G13" s="17" t="s">
        <v>674</v>
      </c>
      <c r="H13" s="78">
        <v>43558</v>
      </c>
      <c r="I13" s="69" t="str">
        <f t="shared" ca="1" si="0"/>
        <v xml:space="preserve">7 Tahun 5 Bulan </v>
      </c>
      <c r="J13" s="17" t="s">
        <v>680</v>
      </c>
      <c r="K13" s="17" t="s">
        <v>681</v>
      </c>
      <c r="L13" s="17" t="s">
        <v>250</v>
      </c>
      <c r="M13" s="17" t="s">
        <v>25</v>
      </c>
      <c r="N13" s="17" t="s">
        <v>26</v>
      </c>
      <c r="O13" s="17" t="s">
        <v>39</v>
      </c>
      <c r="P13" s="17">
        <v>2</v>
      </c>
      <c r="Q13" s="17">
        <v>1</v>
      </c>
      <c r="R13" s="17">
        <v>3</v>
      </c>
      <c r="S13" s="17">
        <v>9</v>
      </c>
    </row>
    <row r="14" spans="1:19" x14ac:dyDescent="0.3">
      <c r="A14" s="27">
        <v>8</v>
      </c>
      <c r="B14" s="84" t="s">
        <v>808</v>
      </c>
      <c r="C14" s="17">
        <v>4651</v>
      </c>
      <c r="D14" s="81">
        <v>3187778549</v>
      </c>
      <c r="E14" s="34" t="s">
        <v>761</v>
      </c>
      <c r="F14" s="17" t="s">
        <v>36</v>
      </c>
      <c r="G14" s="17" t="s">
        <v>679</v>
      </c>
      <c r="H14" s="78">
        <v>43141</v>
      </c>
      <c r="I14" s="69" t="str">
        <f t="shared" ca="1" si="0"/>
        <v xml:space="preserve">8 Tahun 7 Bulan </v>
      </c>
      <c r="J14" s="17" t="s">
        <v>685</v>
      </c>
      <c r="K14" s="17" t="s">
        <v>686</v>
      </c>
      <c r="L14" s="17" t="s">
        <v>255</v>
      </c>
      <c r="M14" s="17" t="s">
        <v>25</v>
      </c>
      <c r="N14" s="17" t="s">
        <v>39</v>
      </c>
      <c r="O14" s="17" t="s">
        <v>39</v>
      </c>
      <c r="P14" s="17">
        <v>1</v>
      </c>
      <c r="Q14" s="17">
        <v>0</v>
      </c>
      <c r="R14" s="17">
        <v>1</v>
      </c>
      <c r="S14" s="17">
        <v>9</v>
      </c>
    </row>
    <row r="15" spans="1:19" x14ac:dyDescent="0.3">
      <c r="A15" s="27">
        <v>9</v>
      </c>
      <c r="B15" s="84" t="s">
        <v>809</v>
      </c>
      <c r="C15" s="17">
        <v>4652</v>
      </c>
      <c r="D15" s="81">
        <v>3193470146</v>
      </c>
      <c r="E15" s="34" t="s">
        <v>762</v>
      </c>
      <c r="F15" s="17" t="s">
        <v>20</v>
      </c>
      <c r="G15" s="17" t="s">
        <v>679</v>
      </c>
      <c r="H15" s="78">
        <v>43471</v>
      </c>
      <c r="I15" s="69" t="str">
        <f t="shared" ca="1" si="0"/>
        <v xml:space="preserve">7 Tahun 8 Bulan </v>
      </c>
      <c r="J15" s="17" t="s">
        <v>701</v>
      </c>
      <c r="K15" s="17" t="s">
        <v>702</v>
      </c>
      <c r="L15" s="17" t="s">
        <v>250</v>
      </c>
      <c r="M15" s="17" t="s">
        <v>25</v>
      </c>
      <c r="N15" s="17" t="s">
        <v>26</v>
      </c>
      <c r="O15" s="17" t="s">
        <v>26</v>
      </c>
      <c r="P15" s="17">
        <v>1</v>
      </c>
      <c r="Q15" s="17">
        <v>0</v>
      </c>
      <c r="R15" s="17">
        <v>1</v>
      </c>
      <c r="S15" s="17">
        <v>10</v>
      </c>
    </row>
    <row r="16" spans="1:19" x14ac:dyDescent="0.3">
      <c r="A16" s="27">
        <v>10</v>
      </c>
      <c r="B16" s="84" t="s">
        <v>810</v>
      </c>
      <c r="C16" s="17">
        <v>4653</v>
      </c>
      <c r="D16" s="85">
        <v>3189473148</v>
      </c>
      <c r="E16" s="34" t="s">
        <v>763</v>
      </c>
      <c r="F16" s="17" t="s">
        <v>36</v>
      </c>
      <c r="G16" s="17" t="s">
        <v>679</v>
      </c>
      <c r="H16" s="78">
        <v>43382</v>
      </c>
      <c r="I16" s="69" t="str">
        <f t="shared" ca="1" si="0"/>
        <v xml:space="preserve">7 Tahun 11 Bulan </v>
      </c>
      <c r="J16" s="17" t="s">
        <v>713</v>
      </c>
      <c r="K16" s="17" t="s">
        <v>714</v>
      </c>
      <c r="L16" s="17" t="s">
        <v>250</v>
      </c>
      <c r="M16" s="17" t="s">
        <v>261</v>
      </c>
      <c r="N16" s="17" t="s">
        <v>26</v>
      </c>
      <c r="O16" s="17" t="s">
        <v>27</v>
      </c>
      <c r="P16" s="17">
        <v>2</v>
      </c>
      <c r="Q16" s="17">
        <v>1</v>
      </c>
      <c r="R16" s="17">
        <v>6</v>
      </c>
      <c r="S16" s="17">
        <v>5</v>
      </c>
    </row>
    <row r="17" spans="1:19" x14ac:dyDescent="0.3">
      <c r="A17" s="27">
        <v>11</v>
      </c>
      <c r="B17" s="84" t="s">
        <v>811</v>
      </c>
      <c r="C17" s="17">
        <v>4654</v>
      </c>
      <c r="D17" s="80" t="s">
        <v>800</v>
      </c>
      <c r="E17" s="34" t="s">
        <v>764</v>
      </c>
      <c r="F17" s="17" t="s">
        <v>36</v>
      </c>
      <c r="G17" s="17" t="s">
        <v>679</v>
      </c>
      <c r="H17" s="78">
        <v>43369</v>
      </c>
      <c r="I17" s="69" t="str">
        <f t="shared" ca="1" si="0"/>
        <v xml:space="preserve">7 Tahun 11 Bulan </v>
      </c>
      <c r="J17" s="17" t="s">
        <v>695</v>
      </c>
      <c r="K17" s="17" t="s">
        <v>696</v>
      </c>
      <c r="L17" s="17" t="s">
        <v>255</v>
      </c>
      <c r="M17" s="17" t="s">
        <v>25</v>
      </c>
      <c r="N17" s="17" t="s">
        <v>27</v>
      </c>
      <c r="O17" s="17" t="s">
        <v>27</v>
      </c>
      <c r="P17" s="17">
        <v>3</v>
      </c>
      <c r="Q17" s="17">
        <v>2</v>
      </c>
      <c r="R17" s="17">
        <v>2</v>
      </c>
      <c r="S17" s="17">
        <v>11</v>
      </c>
    </row>
    <row r="18" spans="1:19" x14ac:dyDescent="0.3">
      <c r="A18" s="27">
        <v>12</v>
      </c>
      <c r="B18" s="84" t="s">
        <v>812</v>
      </c>
      <c r="C18" s="17">
        <v>4655</v>
      </c>
      <c r="D18" s="81">
        <v>3188879475</v>
      </c>
      <c r="E18" s="34" t="s">
        <v>765</v>
      </c>
      <c r="F18" s="17" t="s">
        <v>36</v>
      </c>
      <c r="G18" s="17" t="s">
        <v>679</v>
      </c>
      <c r="H18" s="78">
        <v>43196</v>
      </c>
      <c r="I18" s="69" t="str">
        <f t="shared" ca="1" si="0"/>
        <v xml:space="preserve">8 Tahun 5 Bulan </v>
      </c>
      <c r="J18" s="17"/>
      <c r="K18" s="17" t="s">
        <v>791</v>
      </c>
      <c r="L18" s="17"/>
      <c r="M18" s="17"/>
      <c r="N18" s="17"/>
      <c r="O18" s="17"/>
      <c r="P18" s="17"/>
      <c r="Q18" s="17"/>
      <c r="R18" s="17"/>
      <c r="S18" s="17"/>
    </row>
    <row r="19" spans="1:19" x14ac:dyDescent="0.3">
      <c r="A19" s="27">
        <v>13</v>
      </c>
      <c r="B19" s="84" t="s">
        <v>813</v>
      </c>
      <c r="C19" s="17">
        <v>4656</v>
      </c>
      <c r="D19" s="86" t="s">
        <v>800</v>
      </c>
      <c r="E19" s="34" t="s">
        <v>766</v>
      </c>
      <c r="F19" s="17" t="s">
        <v>36</v>
      </c>
      <c r="G19" s="17" t="s">
        <v>679</v>
      </c>
      <c r="H19" s="78">
        <v>43769</v>
      </c>
      <c r="I19" s="69" t="str">
        <f t="shared" ca="1" si="0"/>
        <v xml:space="preserve">6 Tahun 10 Bulan </v>
      </c>
      <c r="J19" s="17" t="s">
        <v>787</v>
      </c>
      <c r="K19" s="17" t="s">
        <v>792</v>
      </c>
      <c r="L19" s="17"/>
      <c r="M19" s="17"/>
      <c r="N19" s="17"/>
      <c r="O19" s="17"/>
      <c r="P19" s="17"/>
      <c r="Q19" s="17"/>
      <c r="R19" s="17"/>
      <c r="S19" s="17"/>
    </row>
    <row r="20" spans="1:19" x14ac:dyDescent="0.3">
      <c r="A20" s="27">
        <v>14</v>
      </c>
      <c r="B20" s="84" t="s">
        <v>814</v>
      </c>
      <c r="C20" s="17">
        <v>4657</v>
      </c>
      <c r="D20" s="81">
        <v>3196053053</v>
      </c>
      <c r="E20" s="34" t="s">
        <v>767</v>
      </c>
      <c r="F20" s="17" t="s">
        <v>36</v>
      </c>
      <c r="G20" s="17" t="s">
        <v>679</v>
      </c>
      <c r="H20" s="78">
        <v>43562</v>
      </c>
      <c r="I20" s="69" t="str">
        <f t="shared" ca="1" si="0"/>
        <v xml:space="preserve">7 Tahun 5 Bulan </v>
      </c>
      <c r="J20" s="17" t="s">
        <v>692</v>
      </c>
      <c r="K20" s="17" t="s">
        <v>693</v>
      </c>
      <c r="L20" s="17" t="s">
        <v>250</v>
      </c>
      <c r="M20" s="17" t="s">
        <v>250</v>
      </c>
      <c r="N20" s="17" t="s">
        <v>26</v>
      </c>
      <c r="O20" s="17" t="s">
        <v>39</v>
      </c>
      <c r="P20" s="17">
        <v>2</v>
      </c>
      <c r="Q20" s="17">
        <v>1</v>
      </c>
      <c r="R20" s="17">
        <v>3</v>
      </c>
      <c r="S20" s="17">
        <v>10</v>
      </c>
    </row>
    <row r="21" spans="1:19" x14ac:dyDescent="0.3">
      <c r="A21" s="27">
        <v>15</v>
      </c>
      <c r="B21" s="84" t="s">
        <v>815</v>
      </c>
      <c r="C21" s="17">
        <v>4658</v>
      </c>
      <c r="D21" s="80" t="s">
        <v>801</v>
      </c>
      <c r="E21" s="34" t="s">
        <v>768</v>
      </c>
      <c r="F21" s="17" t="s">
        <v>20</v>
      </c>
      <c r="G21" s="17" t="s">
        <v>679</v>
      </c>
      <c r="H21" s="78">
        <v>43193</v>
      </c>
      <c r="I21" s="69" t="str">
        <f t="shared" ca="1" si="0"/>
        <v xml:space="preserve">8 Tahun 5 Bulan </v>
      </c>
      <c r="J21" s="17" t="s">
        <v>788</v>
      </c>
      <c r="K21" s="17" t="s">
        <v>793</v>
      </c>
      <c r="L21" s="17"/>
      <c r="M21" s="17"/>
      <c r="N21" s="17"/>
      <c r="O21" s="17"/>
      <c r="P21" s="17"/>
      <c r="Q21" s="17"/>
      <c r="R21" s="17"/>
      <c r="S21" s="17"/>
    </row>
    <row r="22" spans="1:19" x14ac:dyDescent="0.3">
      <c r="A22" s="27">
        <v>16</v>
      </c>
      <c r="B22" s="84" t="s">
        <v>834</v>
      </c>
      <c r="C22" s="17">
        <v>4659</v>
      </c>
      <c r="D22" s="81">
        <v>3185968058</v>
      </c>
      <c r="E22" s="34" t="s">
        <v>769</v>
      </c>
      <c r="F22" s="17" t="s">
        <v>20</v>
      </c>
      <c r="G22" s="17" t="s">
        <v>679</v>
      </c>
      <c r="H22" s="78">
        <v>43139</v>
      </c>
      <c r="I22" s="69" t="str">
        <f t="shared" ca="1" si="0"/>
        <v xml:space="preserve">8 Tahun 7 Bulan </v>
      </c>
      <c r="J22" s="78" t="s">
        <v>835</v>
      </c>
      <c r="K22" s="17" t="s">
        <v>794</v>
      </c>
      <c r="L22" s="17"/>
      <c r="M22" s="17"/>
      <c r="N22" s="17"/>
      <c r="O22" s="17"/>
      <c r="P22" s="17"/>
      <c r="Q22" s="17"/>
      <c r="R22" s="17"/>
      <c r="S22" s="17"/>
    </row>
    <row r="23" spans="1:19" x14ac:dyDescent="0.3">
      <c r="A23" s="27">
        <v>17</v>
      </c>
      <c r="B23" s="84" t="s">
        <v>816</v>
      </c>
      <c r="C23" s="17">
        <v>4660</v>
      </c>
      <c r="D23" s="81">
        <v>3185807810</v>
      </c>
      <c r="E23" s="34" t="s">
        <v>770</v>
      </c>
      <c r="F23" s="17" t="s">
        <v>20</v>
      </c>
      <c r="G23" s="17" t="s">
        <v>679</v>
      </c>
      <c r="H23" s="78">
        <v>43289</v>
      </c>
      <c r="I23" s="69" t="str">
        <f t="shared" ca="1" si="0"/>
        <v xml:space="preserve">8 Tahun 2 Bulan </v>
      </c>
      <c r="J23" s="17" t="s">
        <v>708</v>
      </c>
      <c r="K23" s="17" t="s">
        <v>709</v>
      </c>
      <c r="L23" s="17" t="s">
        <v>261</v>
      </c>
      <c r="M23" s="17" t="s">
        <v>261</v>
      </c>
      <c r="N23" s="17" t="s">
        <v>27</v>
      </c>
      <c r="O23" s="17" t="s">
        <v>27</v>
      </c>
      <c r="P23" s="17">
        <v>2</v>
      </c>
      <c r="Q23" s="17">
        <v>1</v>
      </c>
      <c r="R23" s="17">
        <v>1</v>
      </c>
      <c r="S23" s="17">
        <v>11</v>
      </c>
    </row>
    <row r="24" spans="1:19" x14ac:dyDescent="0.3">
      <c r="A24" s="27">
        <v>18</v>
      </c>
      <c r="B24" s="84" t="s">
        <v>817</v>
      </c>
      <c r="C24" s="17">
        <v>4662</v>
      </c>
      <c r="D24" s="86" t="s">
        <v>801</v>
      </c>
      <c r="E24" s="34" t="s">
        <v>771</v>
      </c>
      <c r="F24" s="17" t="s">
        <v>36</v>
      </c>
      <c r="G24" s="17" t="s">
        <v>679</v>
      </c>
      <c r="H24" s="78">
        <v>43532</v>
      </c>
      <c r="I24" s="69" t="str">
        <f t="shared" ca="1" si="0"/>
        <v xml:space="preserve">7 Tahun 6 Bulan </v>
      </c>
      <c r="J24" s="17" t="s">
        <v>705</v>
      </c>
      <c r="K24" s="17" t="s">
        <v>706</v>
      </c>
      <c r="L24" s="17" t="s">
        <v>261</v>
      </c>
      <c r="M24" s="17" t="s">
        <v>25</v>
      </c>
      <c r="N24" s="17" t="s">
        <v>26</v>
      </c>
      <c r="O24" s="17" t="s">
        <v>707</v>
      </c>
      <c r="P24" s="17">
        <v>2</v>
      </c>
      <c r="Q24" s="17">
        <v>1</v>
      </c>
      <c r="R24" s="17">
        <v>3</v>
      </c>
      <c r="S24" s="17">
        <v>11</v>
      </c>
    </row>
    <row r="25" spans="1:19" x14ac:dyDescent="0.3">
      <c r="A25" s="27">
        <v>19</v>
      </c>
      <c r="B25" s="84" t="s">
        <v>818</v>
      </c>
      <c r="C25" s="17">
        <v>4663</v>
      </c>
      <c r="D25" s="87">
        <v>3194465408</v>
      </c>
      <c r="E25" s="34" t="s">
        <v>772</v>
      </c>
      <c r="F25" s="17" t="s">
        <v>20</v>
      </c>
      <c r="G25" s="17" t="s">
        <v>679</v>
      </c>
      <c r="H25" s="78">
        <v>43541</v>
      </c>
      <c r="I25" s="69" t="str">
        <f t="shared" ca="1" si="0"/>
        <v xml:space="preserve">7 Tahun 6 Bulan </v>
      </c>
      <c r="J25" s="17" t="s">
        <v>715</v>
      </c>
      <c r="K25" s="17" t="s">
        <v>716</v>
      </c>
      <c r="L25" s="17" t="s">
        <v>618</v>
      </c>
      <c r="M25" s="17" t="s">
        <v>25</v>
      </c>
      <c r="N25" s="17" t="s">
        <v>27</v>
      </c>
      <c r="O25" s="17" t="s">
        <v>27</v>
      </c>
      <c r="P25" s="17">
        <v>1</v>
      </c>
      <c r="Q25" s="17">
        <v>0</v>
      </c>
      <c r="R25" s="17">
        <v>1</v>
      </c>
      <c r="S25" s="17">
        <v>11</v>
      </c>
    </row>
    <row r="26" spans="1:19" x14ac:dyDescent="0.3">
      <c r="A26" s="27">
        <v>20</v>
      </c>
      <c r="B26" s="84" t="s">
        <v>819</v>
      </c>
      <c r="C26" s="17">
        <v>4664</v>
      </c>
      <c r="D26" s="87">
        <v>3180041343</v>
      </c>
      <c r="E26" s="34" t="s">
        <v>773</v>
      </c>
      <c r="F26" s="17" t="s">
        <v>20</v>
      </c>
      <c r="G26" s="17" t="s">
        <v>679</v>
      </c>
      <c r="H26" s="78">
        <v>43220</v>
      </c>
      <c r="I26" s="69" t="str">
        <f t="shared" ca="1" si="0"/>
        <v xml:space="preserve">8 Tahun 4 Bulan </v>
      </c>
      <c r="J26" s="17" t="s">
        <v>687</v>
      </c>
      <c r="K26" s="17" t="s">
        <v>688</v>
      </c>
      <c r="L26" s="17" t="s">
        <v>250</v>
      </c>
      <c r="M26" s="17" t="s">
        <v>25</v>
      </c>
      <c r="N26" s="17" t="s">
        <v>26</v>
      </c>
      <c r="O26" s="17" t="s">
        <v>39</v>
      </c>
      <c r="P26" s="17">
        <v>1</v>
      </c>
      <c r="Q26" s="17">
        <v>1</v>
      </c>
      <c r="R26" s="17">
        <v>1</v>
      </c>
      <c r="S26" s="17">
        <v>10</v>
      </c>
    </row>
    <row r="27" spans="1:19" x14ac:dyDescent="0.3">
      <c r="A27" s="27">
        <v>21</v>
      </c>
      <c r="B27" s="84" t="s">
        <v>820</v>
      </c>
      <c r="C27" s="17">
        <v>4665</v>
      </c>
      <c r="D27" s="87">
        <v>3172914312</v>
      </c>
      <c r="E27" s="34" t="s">
        <v>774</v>
      </c>
      <c r="F27" s="17" t="s">
        <v>20</v>
      </c>
      <c r="G27" s="17" t="s">
        <v>679</v>
      </c>
      <c r="H27" s="78">
        <v>43064</v>
      </c>
      <c r="I27" s="69" t="str">
        <f t="shared" ca="1" si="0"/>
        <v xml:space="preserve">8 Tahun 9 Bulan </v>
      </c>
      <c r="J27" s="17" t="s">
        <v>682</v>
      </c>
      <c r="K27" s="17" t="s">
        <v>683</v>
      </c>
      <c r="L27" s="17" t="s">
        <v>684</v>
      </c>
      <c r="M27" s="17" t="s">
        <v>25</v>
      </c>
      <c r="N27" s="17" t="s">
        <v>27</v>
      </c>
      <c r="O27" s="17" t="s">
        <v>27</v>
      </c>
      <c r="P27" s="17">
        <v>2</v>
      </c>
      <c r="Q27" s="17">
        <v>1</v>
      </c>
      <c r="R27" s="17">
        <v>2</v>
      </c>
      <c r="S27" s="17">
        <v>8</v>
      </c>
    </row>
    <row r="28" spans="1:19" x14ac:dyDescent="0.3">
      <c r="A28" s="27">
        <v>22</v>
      </c>
      <c r="B28" s="84" t="s">
        <v>821</v>
      </c>
      <c r="C28" s="17">
        <v>4666</v>
      </c>
      <c r="D28" s="87">
        <v>3179560296</v>
      </c>
      <c r="E28" s="34" t="s">
        <v>775</v>
      </c>
      <c r="F28" s="17" t="s">
        <v>20</v>
      </c>
      <c r="G28" s="17" t="s">
        <v>679</v>
      </c>
      <c r="H28" s="78">
        <v>43059</v>
      </c>
      <c r="I28" s="69" t="str">
        <f t="shared" ca="1" si="0"/>
        <v xml:space="preserve">8 Tahun 10 Bulan </v>
      </c>
      <c r="J28" s="17"/>
      <c r="K28" s="17" t="s">
        <v>694</v>
      </c>
      <c r="L28" s="17">
        <v>0</v>
      </c>
      <c r="M28" s="17" t="s">
        <v>25</v>
      </c>
      <c r="N28" s="17">
        <v>0</v>
      </c>
      <c r="O28" s="17" t="s">
        <v>27</v>
      </c>
      <c r="P28" s="17">
        <v>2</v>
      </c>
      <c r="Q28" s="17">
        <v>1</v>
      </c>
      <c r="R28" s="17">
        <v>2</v>
      </c>
      <c r="S28" s="17">
        <v>8</v>
      </c>
    </row>
    <row r="29" spans="1:19" x14ac:dyDescent="0.3">
      <c r="A29" s="27">
        <v>23</v>
      </c>
      <c r="B29" s="84" t="s">
        <v>822</v>
      </c>
      <c r="C29" s="17">
        <v>4667</v>
      </c>
      <c r="D29" s="87">
        <v>3195441369</v>
      </c>
      <c r="E29" s="34" t="s">
        <v>776</v>
      </c>
      <c r="F29" s="17" t="s">
        <v>20</v>
      </c>
      <c r="G29" s="17" t="s">
        <v>679</v>
      </c>
      <c r="H29" s="78">
        <v>43380</v>
      </c>
      <c r="I29" s="69" t="str">
        <f t="shared" ca="1" si="0"/>
        <v xml:space="preserve">7 Tahun 11 Bulan </v>
      </c>
      <c r="J29" s="17" t="s">
        <v>675</v>
      </c>
      <c r="K29" s="17" t="s">
        <v>676</v>
      </c>
      <c r="L29" s="17" t="s">
        <v>255</v>
      </c>
      <c r="M29" s="17" t="s">
        <v>25</v>
      </c>
      <c r="N29" s="17" t="s">
        <v>39</v>
      </c>
      <c r="O29" s="17" t="s">
        <v>27</v>
      </c>
      <c r="P29" s="17">
        <v>2</v>
      </c>
      <c r="Q29" s="17">
        <v>1</v>
      </c>
      <c r="R29" s="17">
        <v>2</v>
      </c>
      <c r="S29" s="17">
        <v>10</v>
      </c>
    </row>
    <row r="30" spans="1:19" x14ac:dyDescent="0.3">
      <c r="A30" s="27">
        <v>24</v>
      </c>
      <c r="B30" s="84" t="s">
        <v>823</v>
      </c>
      <c r="C30" s="17">
        <v>4668</v>
      </c>
      <c r="D30" s="87">
        <v>3185032825</v>
      </c>
      <c r="E30" s="34" t="s">
        <v>777</v>
      </c>
      <c r="F30" s="17" t="s">
        <v>20</v>
      </c>
      <c r="G30" s="17" t="s">
        <v>679</v>
      </c>
      <c r="H30" s="78">
        <v>43341</v>
      </c>
      <c r="I30" s="69" t="str">
        <f t="shared" ca="1" si="0"/>
        <v xml:space="preserve">8 Tahun 0 Bulan </v>
      </c>
      <c r="J30" s="17" t="s">
        <v>677</v>
      </c>
      <c r="K30" s="17" t="s">
        <v>678</v>
      </c>
      <c r="L30" s="17" t="s">
        <v>261</v>
      </c>
      <c r="M30" s="17" t="s">
        <v>25</v>
      </c>
      <c r="N30" s="17" t="s">
        <v>39</v>
      </c>
      <c r="O30" s="17" t="s">
        <v>39</v>
      </c>
      <c r="P30" s="17">
        <v>2</v>
      </c>
      <c r="Q30" s="17">
        <v>1</v>
      </c>
      <c r="R30" s="17">
        <v>2</v>
      </c>
      <c r="S30" s="17">
        <v>11</v>
      </c>
    </row>
    <row r="31" spans="1:19" x14ac:dyDescent="0.3">
      <c r="A31" s="27">
        <v>25</v>
      </c>
      <c r="B31" s="84" t="s">
        <v>824</v>
      </c>
      <c r="C31" s="17">
        <v>4669</v>
      </c>
      <c r="D31" s="87">
        <v>3182870970</v>
      </c>
      <c r="E31" s="34" t="s">
        <v>778</v>
      </c>
      <c r="F31" s="17" t="s">
        <v>20</v>
      </c>
      <c r="G31" s="17" t="s">
        <v>679</v>
      </c>
      <c r="H31" s="78">
        <v>43261</v>
      </c>
      <c r="I31" s="69" t="str">
        <f t="shared" ca="1" si="0"/>
        <v xml:space="preserve">8 Tahun 3 Bulan </v>
      </c>
      <c r="J31" s="17" t="s">
        <v>720</v>
      </c>
      <c r="K31" s="17" t="s">
        <v>721</v>
      </c>
      <c r="L31" s="17" t="s">
        <v>250</v>
      </c>
      <c r="M31" s="17" t="s">
        <v>25</v>
      </c>
      <c r="N31" s="17" t="s">
        <v>27</v>
      </c>
      <c r="O31" s="17" t="s">
        <v>27</v>
      </c>
      <c r="P31" s="17">
        <v>2</v>
      </c>
      <c r="Q31" s="17">
        <v>1</v>
      </c>
      <c r="R31" s="17">
        <v>3</v>
      </c>
      <c r="S31" s="17">
        <v>9</v>
      </c>
    </row>
    <row r="32" spans="1:19" x14ac:dyDescent="0.3">
      <c r="A32" s="27">
        <v>26</v>
      </c>
      <c r="B32" s="84" t="s">
        <v>825</v>
      </c>
      <c r="C32" s="17">
        <v>4670</v>
      </c>
      <c r="D32" s="87">
        <v>3181635758</v>
      </c>
      <c r="E32" s="34" t="s">
        <v>779</v>
      </c>
      <c r="F32" s="17" t="s">
        <v>20</v>
      </c>
      <c r="G32" s="17" t="s">
        <v>679</v>
      </c>
      <c r="H32" s="78">
        <v>43380</v>
      </c>
      <c r="I32" s="69" t="str">
        <f t="shared" ca="1" si="0"/>
        <v xml:space="preserve">7 Tahun 11 Bulan </v>
      </c>
      <c r="J32" s="17" t="s">
        <v>789</v>
      </c>
      <c r="K32" s="17" t="s">
        <v>795</v>
      </c>
      <c r="L32" s="17"/>
      <c r="M32" s="17"/>
      <c r="N32" s="17"/>
      <c r="O32" s="17"/>
      <c r="P32" s="17"/>
      <c r="Q32" s="17"/>
      <c r="R32" s="17"/>
      <c r="S32" s="17"/>
    </row>
    <row r="33" spans="1:19" x14ac:dyDescent="0.3">
      <c r="A33" s="27">
        <v>27</v>
      </c>
      <c r="B33" s="84" t="s">
        <v>826</v>
      </c>
      <c r="C33" s="17">
        <v>4671</v>
      </c>
      <c r="D33" s="87">
        <v>3187418273</v>
      </c>
      <c r="E33" s="34" t="s">
        <v>780</v>
      </c>
      <c r="F33" s="17" t="s">
        <v>36</v>
      </c>
      <c r="G33" s="17" t="s">
        <v>679</v>
      </c>
      <c r="H33" s="78">
        <v>43434</v>
      </c>
      <c r="I33" s="69" t="str">
        <f t="shared" ca="1" si="0"/>
        <v xml:space="preserve">7 Tahun 9 Bulan </v>
      </c>
      <c r="J33" s="17" t="s">
        <v>699</v>
      </c>
      <c r="K33" s="17" t="s">
        <v>700</v>
      </c>
      <c r="L33" s="17" t="s">
        <v>261</v>
      </c>
      <c r="M33" s="17" t="s">
        <v>25</v>
      </c>
      <c r="N33" s="17" t="s">
        <v>27</v>
      </c>
      <c r="O33" s="17" t="s">
        <v>27</v>
      </c>
      <c r="P33" s="17">
        <v>2</v>
      </c>
      <c r="Q33" s="17">
        <v>2</v>
      </c>
      <c r="R33" s="17">
        <v>6</v>
      </c>
      <c r="S33" s="17">
        <v>4</v>
      </c>
    </row>
    <row r="34" spans="1:19" x14ac:dyDescent="0.3">
      <c r="A34" s="27">
        <v>28</v>
      </c>
      <c r="B34" s="84" t="s">
        <v>827</v>
      </c>
      <c r="C34" s="17">
        <v>4672</v>
      </c>
      <c r="D34" s="87">
        <v>3183741719</v>
      </c>
      <c r="E34" s="34" t="s">
        <v>781</v>
      </c>
      <c r="F34" s="17" t="s">
        <v>36</v>
      </c>
      <c r="G34" s="17" t="s">
        <v>679</v>
      </c>
      <c r="H34" s="78">
        <v>43415</v>
      </c>
      <c r="I34" s="69" t="str">
        <f t="shared" ca="1" si="0"/>
        <v xml:space="preserve">7 Tahun 10 Bulan </v>
      </c>
      <c r="J34" s="17" t="s">
        <v>53</v>
      </c>
      <c r="K34" s="17" t="s">
        <v>710</v>
      </c>
      <c r="L34" s="17"/>
      <c r="M34" s="17" t="s">
        <v>25</v>
      </c>
      <c r="N34" s="17">
        <v>0</v>
      </c>
      <c r="O34" s="17" t="s">
        <v>27</v>
      </c>
      <c r="P34" s="17">
        <v>1</v>
      </c>
      <c r="Q34" s="17">
        <v>0</v>
      </c>
      <c r="R34" s="17">
        <v>3</v>
      </c>
      <c r="S34" s="17">
        <v>9</v>
      </c>
    </row>
    <row r="35" spans="1:19" x14ac:dyDescent="0.3">
      <c r="A35" s="27">
        <v>29</v>
      </c>
      <c r="B35" s="84" t="s">
        <v>828</v>
      </c>
      <c r="C35" s="17">
        <v>4673</v>
      </c>
      <c r="D35" s="87">
        <v>3194294239</v>
      </c>
      <c r="E35" s="34" t="s">
        <v>782</v>
      </c>
      <c r="F35" s="17" t="s">
        <v>36</v>
      </c>
      <c r="G35" s="17" t="s">
        <v>679</v>
      </c>
      <c r="H35" s="78">
        <v>43536</v>
      </c>
      <c r="I35" s="69" t="str">
        <f t="shared" ca="1" si="0"/>
        <v xml:space="preserve">7 Tahun 6 Bulan </v>
      </c>
      <c r="J35" s="17" t="s">
        <v>722</v>
      </c>
      <c r="K35" s="17" t="s">
        <v>723</v>
      </c>
      <c r="L35" s="17" t="s">
        <v>250</v>
      </c>
      <c r="M35" s="17" t="s">
        <v>250</v>
      </c>
      <c r="N35" s="17" t="s">
        <v>39</v>
      </c>
      <c r="O35" s="17" t="s">
        <v>39</v>
      </c>
      <c r="P35" s="17">
        <v>2</v>
      </c>
      <c r="Q35" s="17">
        <v>1</v>
      </c>
      <c r="R35" s="17">
        <v>2</v>
      </c>
      <c r="S35" s="17">
        <v>8</v>
      </c>
    </row>
    <row r="36" spans="1:19" x14ac:dyDescent="0.3">
      <c r="A36" s="27">
        <v>30</v>
      </c>
      <c r="B36" s="84" t="s">
        <v>829</v>
      </c>
      <c r="C36" s="17">
        <v>4674</v>
      </c>
      <c r="D36" s="87">
        <v>3180161004</v>
      </c>
      <c r="E36" s="34" t="s">
        <v>783</v>
      </c>
      <c r="F36" s="17" t="s">
        <v>36</v>
      </c>
      <c r="G36" s="17" t="s">
        <v>679</v>
      </c>
      <c r="H36" s="78">
        <v>43181</v>
      </c>
      <c r="I36" s="69" t="str">
        <f t="shared" ca="1" si="0"/>
        <v xml:space="preserve">8 Tahun 6 Bulan </v>
      </c>
      <c r="J36" s="17" t="s">
        <v>711</v>
      </c>
      <c r="K36" s="17" t="s">
        <v>712</v>
      </c>
      <c r="L36" s="17" t="s">
        <v>261</v>
      </c>
      <c r="M36" s="17" t="s">
        <v>25</v>
      </c>
      <c r="N36" s="17" t="s">
        <v>27</v>
      </c>
      <c r="O36" s="17" t="s">
        <v>27</v>
      </c>
      <c r="P36" s="17">
        <v>1</v>
      </c>
      <c r="Q36" s="17">
        <v>1</v>
      </c>
      <c r="R36" s="17">
        <v>3</v>
      </c>
      <c r="S36" s="17">
        <v>9</v>
      </c>
    </row>
    <row r="37" spans="1:19" x14ac:dyDescent="0.3">
      <c r="A37" s="27">
        <v>31</v>
      </c>
      <c r="B37" s="84" t="s">
        <v>830</v>
      </c>
      <c r="C37" s="17">
        <v>4675</v>
      </c>
      <c r="D37" s="87">
        <v>3194373627</v>
      </c>
      <c r="E37" s="34" t="s">
        <v>784</v>
      </c>
      <c r="F37" s="17" t="s">
        <v>36</v>
      </c>
      <c r="G37" s="17" t="s">
        <v>679</v>
      </c>
      <c r="H37" s="78">
        <v>43578</v>
      </c>
      <c r="I37" s="69" t="str">
        <f t="shared" ca="1" si="0"/>
        <v xml:space="preserve">7 Tahun 5 Bulan </v>
      </c>
      <c r="J37" s="17" t="s">
        <v>724</v>
      </c>
      <c r="K37" s="17" t="s">
        <v>725</v>
      </c>
      <c r="L37" s="17" t="s">
        <v>255</v>
      </c>
      <c r="M37" s="17" t="s">
        <v>25</v>
      </c>
      <c r="N37" s="17" t="s">
        <v>27</v>
      </c>
      <c r="O37" s="17" t="s">
        <v>27</v>
      </c>
      <c r="P37" s="17">
        <v>3</v>
      </c>
      <c r="Q37" s="17">
        <v>2</v>
      </c>
      <c r="R37" s="17">
        <v>2</v>
      </c>
      <c r="S37" s="17">
        <v>8</v>
      </c>
    </row>
    <row r="38" spans="1:19" x14ac:dyDescent="0.25">
      <c r="A38" s="27">
        <v>32</v>
      </c>
      <c r="B38" s="84" t="s">
        <v>831</v>
      </c>
      <c r="C38" s="17">
        <v>4676</v>
      </c>
      <c r="D38" s="87">
        <v>3197646592</v>
      </c>
      <c r="E38" s="34" t="s">
        <v>785</v>
      </c>
      <c r="F38" s="17" t="s">
        <v>20</v>
      </c>
      <c r="G38" s="17" t="s">
        <v>679</v>
      </c>
      <c r="H38" s="79">
        <v>43659</v>
      </c>
      <c r="I38" s="69" t="str">
        <f t="shared" ca="1" si="0"/>
        <v xml:space="preserve">7 Tahun 2 Bulan </v>
      </c>
      <c r="J38" s="17" t="s">
        <v>697</v>
      </c>
      <c r="K38" s="17" t="s">
        <v>698</v>
      </c>
      <c r="L38" s="17" t="s">
        <v>250</v>
      </c>
      <c r="M38" s="17" t="s">
        <v>25</v>
      </c>
      <c r="N38" s="17" t="s">
        <v>39</v>
      </c>
      <c r="O38" s="17" t="s">
        <v>27</v>
      </c>
      <c r="P38" s="17">
        <v>1</v>
      </c>
      <c r="Q38" s="17">
        <v>2</v>
      </c>
      <c r="R38" s="17">
        <v>3</v>
      </c>
      <c r="S38" s="17">
        <v>3</v>
      </c>
    </row>
    <row r="39" spans="1:19" x14ac:dyDescent="0.3">
      <c r="A39" s="27"/>
      <c r="B39" s="82"/>
      <c r="C39" s="17"/>
      <c r="D39" s="87"/>
      <c r="E39" s="34"/>
      <c r="F39" s="17"/>
      <c r="G39" s="17"/>
      <c r="H39" s="68"/>
      <c r="I39" s="69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4" spans="1:19" x14ac:dyDescent="0.3">
      <c r="C44" s="7" t="s">
        <v>212</v>
      </c>
      <c r="D44" s="7"/>
      <c r="E44" s="7"/>
      <c r="F44" s="7">
        <f>COUNTIF(F6:F38,"L")</f>
        <v>16</v>
      </c>
    </row>
    <row r="45" spans="1:19" x14ac:dyDescent="0.3">
      <c r="C45" s="7" t="s">
        <v>213</v>
      </c>
      <c r="D45" s="7"/>
      <c r="E45" s="7"/>
      <c r="F45" s="7">
        <f>COUNTIF(F4:F38,"P")</f>
        <v>16</v>
      </c>
    </row>
    <row r="46" spans="1:19" x14ac:dyDescent="0.3">
      <c r="C46" s="26" t="s">
        <v>214</v>
      </c>
      <c r="D46" s="7"/>
      <c r="E46" s="7"/>
      <c r="F46" s="26">
        <f>SUM(F44:F45)</f>
        <v>32</v>
      </c>
    </row>
    <row r="48" spans="1:19" x14ac:dyDescent="0.3">
      <c r="A48" s="6"/>
      <c r="B48" s="9" t="s">
        <v>215</v>
      </c>
      <c r="C48" s="10"/>
      <c r="D48" s="10"/>
      <c r="E48" s="10"/>
      <c r="F48" s="9"/>
      <c r="G48" s="16"/>
      <c r="H48" s="11"/>
      <c r="I48" s="11"/>
      <c r="J48" s="12"/>
      <c r="K48" s="6"/>
      <c r="L48" s="24"/>
      <c r="M48" s="22"/>
      <c r="N48" s="24" t="s">
        <v>920</v>
      </c>
      <c r="O48" s="22"/>
      <c r="P48" s="6"/>
      <c r="Q48" s="5"/>
      <c r="R48" s="5"/>
      <c r="S48" s="5"/>
    </row>
    <row r="49" spans="1:19" x14ac:dyDescent="0.3">
      <c r="A49" s="6"/>
      <c r="B49" s="9" t="s">
        <v>216</v>
      </c>
      <c r="C49" s="10"/>
      <c r="D49" s="10"/>
      <c r="E49" s="10"/>
      <c r="F49" s="9"/>
      <c r="G49" s="16"/>
      <c r="H49" s="11"/>
      <c r="I49" s="11"/>
      <c r="J49" s="12"/>
      <c r="K49" s="6"/>
      <c r="L49" s="24"/>
      <c r="M49" s="22"/>
      <c r="N49" s="24" t="s">
        <v>663</v>
      </c>
      <c r="O49" s="22"/>
      <c r="P49" s="6"/>
      <c r="Q49" s="5"/>
      <c r="R49" s="5"/>
      <c r="S49" s="5"/>
    </row>
    <row r="50" spans="1:19" x14ac:dyDescent="0.3">
      <c r="A50" s="6"/>
      <c r="B50" s="9"/>
      <c r="C50" s="10"/>
      <c r="D50" s="10"/>
      <c r="E50" s="10"/>
      <c r="F50" s="9"/>
      <c r="G50" s="16"/>
      <c r="H50" s="11"/>
      <c r="I50" s="11"/>
      <c r="J50" s="12"/>
      <c r="K50" s="6"/>
      <c r="L50" s="24"/>
      <c r="M50" s="22"/>
      <c r="N50" s="24"/>
      <c r="O50" s="22"/>
      <c r="P50" s="6"/>
      <c r="Q50" s="5"/>
      <c r="R50" s="5"/>
      <c r="S50" s="5"/>
    </row>
    <row r="51" spans="1:19" x14ac:dyDescent="0.3">
      <c r="A51" s="6"/>
      <c r="B51" s="9"/>
      <c r="C51" s="10"/>
      <c r="D51" s="10"/>
      <c r="E51" s="10"/>
      <c r="F51" s="9"/>
      <c r="G51" s="16"/>
      <c r="H51" s="11"/>
      <c r="I51" s="11"/>
      <c r="J51" s="12"/>
      <c r="K51" s="6"/>
      <c r="L51" s="24"/>
      <c r="M51" s="22"/>
      <c r="N51" s="24"/>
      <c r="O51" s="22"/>
      <c r="P51" s="6"/>
      <c r="Q51" s="5"/>
      <c r="R51" s="5"/>
      <c r="S51" s="5"/>
    </row>
    <row r="52" spans="1:19" x14ac:dyDescent="0.3">
      <c r="A52" s="6"/>
      <c r="B52" s="9"/>
      <c r="C52" s="10"/>
      <c r="D52" s="10"/>
      <c r="E52" s="10"/>
      <c r="F52" s="9"/>
      <c r="G52" s="16"/>
      <c r="H52" s="11"/>
      <c r="I52" s="11"/>
      <c r="J52" s="12"/>
      <c r="K52" s="6"/>
      <c r="L52" s="24"/>
      <c r="M52" s="22"/>
      <c r="N52" s="24"/>
      <c r="O52" s="22"/>
      <c r="P52" s="6"/>
      <c r="Q52" s="5"/>
      <c r="R52" s="5"/>
      <c r="S52" s="5"/>
    </row>
    <row r="53" spans="1:19" x14ac:dyDescent="0.3">
      <c r="A53" s="6"/>
      <c r="B53" s="13" t="s">
        <v>217</v>
      </c>
      <c r="C53" s="10"/>
      <c r="D53" s="10"/>
      <c r="E53" s="10"/>
      <c r="F53" s="9"/>
      <c r="G53" s="16"/>
      <c r="H53" s="14"/>
      <c r="I53" s="14"/>
      <c r="J53" s="15"/>
      <c r="K53" s="6"/>
      <c r="L53" s="24"/>
      <c r="M53" s="22"/>
      <c r="N53" s="25" t="s">
        <v>664</v>
      </c>
      <c r="O53" s="22"/>
      <c r="P53" s="6"/>
      <c r="Q53" s="5"/>
      <c r="R53" s="5"/>
      <c r="S53" s="5"/>
    </row>
    <row r="54" spans="1:19" x14ac:dyDescent="0.3">
      <c r="A54" s="6"/>
      <c r="B54" s="9" t="s">
        <v>218</v>
      </c>
      <c r="C54" s="10"/>
      <c r="D54" s="10"/>
      <c r="E54" s="10"/>
      <c r="F54" s="9"/>
      <c r="G54" s="16"/>
      <c r="H54" s="11"/>
      <c r="I54" s="11"/>
      <c r="J54" s="16"/>
      <c r="K54" s="6"/>
      <c r="L54" s="24"/>
      <c r="M54" s="22"/>
      <c r="N54" s="24" t="s">
        <v>665</v>
      </c>
      <c r="O54" s="22"/>
      <c r="P54" s="6"/>
      <c r="Q54" s="5"/>
      <c r="R54" s="5"/>
      <c r="S54" s="5"/>
    </row>
  </sheetData>
  <sortState xmlns:xlrd2="http://schemas.microsoft.com/office/spreadsheetml/2017/richdata2" ref="B7:B39">
    <sortCondition ref="B39"/>
  </sortState>
  <mergeCells count="19">
    <mergeCell ref="E5:E6"/>
    <mergeCell ref="N5:O5"/>
    <mergeCell ref="P5:P6"/>
    <mergeCell ref="A1:S1"/>
    <mergeCell ref="A2:S2"/>
    <mergeCell ref="A3:S3"/>
    <mergeCell ref="A5:A6"/>
    <mergeCell ref="B5:B6"/>
    <mergeCell ref="C5:C6"/>
    <mergeCell ref="D5:D6"/>
    <mergeCell ref="F5:F6"/>
    <mergeCell ref="G5:G6"/>
    <mergeCell ref="H5:H6"/>
    <mergeCell ref="Q5:Q6"/>
    <mergeCell ref="R5:S5"/>
    <mergeCell ref="I5:I6"/>
    <mergeCell ref="J5:J6"/>
    <mergeCell ref="K5:K6"/>
    <mergeCell ref="L5:M5"/>
  </mergeCells>
  <printOptions horizontalCentered="1" verticalCentered="1"/>
  <pageMargins left="0.25" right="0.25" top="0.75" bottom="0.75" header="0.3" footer="0.3"/>
  <pageSetup paperSize="256" scale="63" fitToHeight="0" orientation="portrait" horizontalDpi="360" verticalDpi="360" r:id="rId1"/>
  <rowBreaks count="1" manualBreakCount="1">
    <brk id="3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2"/>
  <sheetViews>
    <sheetView view="pageBreakPreview" topLeftCell="A15" zoomScale="39" zoomScaleNormal="50" zoomScaleSheetLayoutView="39" workbookViewId="0">
      <selection activeCell="N15" sqref="N15"/>
    </sheetView>
  </sheetViews>
  <sheetFormatPr defaultColWidth="9.140625" defaultRowHeight="15" x14ac:dyDescent="0.25"/>
  <cols>
    <col min="1" max="1" width="7" style="75" bestFit="1" customWidth="1"/>
    <col min="2" max="2" width="46" style="75" customWidth="1"/>
    <col min="3" max="3" width="9.85546875" style="75" customWidth="1"/>
    <col min="4" max="4" width="16.7109375" style="75" customWidth="1"/>
    <col min="5" max="5" width="6.7109375" style="75" customWidth="1"/>
    <col min="6" max="6" width="15.7109375" style="75" customWidth="1"/>
    <col min="7" max="7" width="23.28515625" style="75" customWidth="1"/>
    <col min="8" max="8" width="23.28515625" style="75" bestFit="1" customWidth="1"/>
    <col min="9" max="9" width="36.5703125" style="75" customWidth="1"/>
    <col min="10" max="10" width="29.28515625" style="75" customWidth="1"/>
    <col min="11" max="11" width="30.140625" style="75" customWidth="1"/>
    <col min="12" max="12" width="27.42578125" style="75" customWidth="1"/>
    <col min="13" max="13" width="23.28515625" style="75" customWidth="1"/>
    <col min="14" max="14" width="26.28515625" style="75" customWidth="1"/>
    <col min="15" max="15" width="11.85546875" style="75" bestFit="1" customWidth="1"/>
    <col min="16" max="16" width="19.5703125" style="75" customWidth="1"/>
    <col min="17" max="17" width="8" style="75" customWidth="1"/>
    <col min="18" max="18" width="7.28515625" style="75" bestFit="1" customWidth="1"/>
    <col min="19" max="16384" width="9.140625" style="75"/>
  </cols>
  <sheetData>
    <row r="1" spans="1:18" ht="21" x14ac:dyDescent="0.35">
      <c r="A1" s="108" t="s">
        <v>1016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21" x14ac:dyDescent="0.3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 ht="21" x14ac:dyDescent="0.35">
      <c r="A3" s="108" t="s">
        <v>666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18" ht="18.75" x14ac:dyDescent="0.3">
      <c r="A4" s="5"/>
      <c r="B4" s="5"/>
      <c r="C4" s="10"/>
      <c r="D4" s="10" t="s">
        <v>256</v>
      </c>
      <c r="E4" s="1"/>
      <c r="F4" s="10"/>
      <c r="G4" s="28"/>
      <c r="H4" s="28"/>
      <c r="I4" s="5"/>
      <c r="J4" s="5"/>
      <c r="K4" s="1"/>
      <c r="L4" s="1"/>
      <c r="M4" s="1"/>
      <c r="N4" s="1"/>
      <c r="O4" s="1"/>
      <c r="P4" s="1"/>
      <c r="Q4" s="1"/>
      <c r="R4" s="1"/>
    </row>
    <row r="5" spans="1:18" ht="18.75" x14ac:dyDescent="0.25">
      <c r="A5" s="110" t="s">
        <v>1</v>
      </c>
      <c r="B5" s="110" t="s">
        <v>2</v>
      </c>
      <c r="C5" s="110" t="s">
        <v>3</v>
      </c>
      <c r="D5" s="110" t="s">
        <v>4</v>
      </c>
      <c r="E5" s="110" t="s">
        <v>260</v>
      </c>
      <c r="F5" s="110" t="s">
        <v>6</v>
      </c>
      <c r="G5" s="117" t="s">
        <v>7</v>
      </c>
      <c r="H5" s="118" t="s">
        <v>8</v>
      </c>
      <c r="I5" s="110" t="s">
        <v>9</v>
      </c>
      <c r="J5" s="110" t="s">
        <v>10</v>
      </c>
      <c r="K5" s="110" t="s">
        <v>11</v>
      </c>
      <c r="L5" s="110"/>
      <c r="M5" s="110" t="s">
        <v>12</v>
      </c>
      <c r="N5" s="110"/>
      <c r="O5" s="110" t="s">
        <v>13</v>
      </c>
      <c r="P5" s="110" t="s">
        <v>14</v>
      </c>
      <c r="Q5" s="110" t="s">
        <v>15</v>
      </c>
      <c r="R5" s="110"/>
    </row>
    <row r="6" spans="1:18" ht="18.75" x14ac:dyDescent="0.25">
      <c r="A6" s="110"/>
      <c r="B6" s="110"/>
      <c r="C6" s="110"/>
      <c r="D6" s="110"/>
      <c r="E6" s="110"/>
      <c r="F6" s="110"/>
      <c r="G6" s="117"/>
      <c r="H6" s="119"/>
      <c r="I6" s="110"/>
      <c r="J6" s="110"/>
      <c r="K6" s="27" t="s">
        <v>9</v>
      </c>
      <c r="L6" s="27" t="s">
        <v>10</v>
      </c>
      <c r="M6" s="27" t="s">
        <v>9</v>
      </c>
      <c r="N6" s="27" t="s">
        <v>10</v>
      </c>
      <c r="O6" s="110"/>
      <c r="P6" s="110"/>
      <c r="Q6" s="27" t="s">
        <v>16</v>
      </c>
      <c r="R6" s="27" t="s">
        <v>17</v>
      </c>
    </row>
    <row r="7" spans="1:18" ht="18.75" x14ac:dyDescent="0.25">
      <c r="A7" s="27">
        <v>1</v>
      </c>
      <c r="B7" s="33" t="s">
        <v>482</v>
      </c>
      <c r="C7" s="17">
        <v>4591</v>
      </c>
      <c r="D7" s="34" t="s">
        <v>504</v>
      </c>
      <c r="E7" s="17" t="s">
        <v>36</v>
      </c>
      <c r="F7" s="17" t="s">
        <v>21</v>
      </c>
      <c r="G7" s="94">
        <v>43217</v>
      </c>
      <c r="H7" s="35" t="str">
        <f ca="1">DATEDIF(G7,TODAY(),"Y")&amp;" Tahun, "&amp;DATEDIF(G7,TODAY(),"YM")&amp;" Bulan "</f>
        <v xml:space="preserve">8 Tahun, 4 Bulan </v>
      </c>
      <c r="I7" s="33" t="s">
        <v>546</v>
      </c>
      <c r="J7" s="33" t="s">
        <v>578</v>
      </c>
      <c r="K7" s="17" t="s">
        <v>261</v>
      </c>
      <c r="L7" s="17" t="s">
        <v>619</v>
      </c>
      <c r="M7" s="17" t="s">
        <v>620</v>
      </c>
      <c r="N7" s="17" t="s">
        <v>621</v>
      </c>
      <c r="O7" s="17"/>
      <c r="P7" s="17"/>
      <c r="Q7" s="17">
        <v>1</v>
      </c>
      <c r="R7" s="17">
        <v>10</v>
      </c>
    </row>
    <row r="8" spans="1:18" ht="18.75" x14ac:dyDescent="0.25">
      <c r="A8" s="27">
        <v>2</v>
      </c>
      <c r="B8" s="33" t="s">
        <v>461</v>
      </c>
      <c r="C8" s="17">
        <v>4593</v>
      </c>
      <c r="D8" s="34" t="s">
        <v>505</v>
      </c>
      <c r="E8" s="17" t="s">
        <v>20</v>
      </c>
      <c r="F8" s="17" t="s">
        <v>21</v>
      </c>
      <c r="G8" s="94">
        <v>41745</v>
      </c>
      <c r="H8" s="35" t="str">
        <f t="shared" ref="H8:H49" ca="1" si="0">DATEDIF(G8,TODAY(),"Y")&amp;" Tahun, "&amp;DATEDIF(G8,TODAY(),"YM")&amp;" Bulan "</f>
        <v xml:space="preserve">12 Tahun, 5 Bulan </v>
      </c>
      <c r="I8" s="33" t="s">
        <v>547</v>
      </c>
      <c r="J8" s="33" t="s">
        <v>579</v>
      </c>
      <c r="K8" s="17" t="s">
        <v>261</v>
      </c>
      <c r="L8" s="17" t="s">
        <v>261</v>
      </c>
      <c r="M8" s="17" t="s">
        <v>620</v>
      </c>
      <c r="N8" s="17" t="s">
        <v>623</v>
      </c>
      <c r="O8" s="17"/>
      <c r="P8" s="17"/>
      <c r="Q8" s="17">
        <v>2</v>
      </c>
      <c r="R8" s="17">
        <v>8</v>
      </c>
    </row>
    <row r="9" spans="1:18" ht="18.75" x14ac:dyDescent="0.25">
      <c r="A9" s="27">
        <v>3</v>
      </c>
      <c r="B9" s="33" t="s">
        <v>462</v>
      </c>
      <c r="C9" s="17">
        <v>4594</v>
      </c>
      <c r="D9" s="34" t="s">
        <v>506</v>
      </c>
      <c r="E9" s="17" t="s">
        <v>20</v>
      </c>
      <c r="F9" s="17" t="s">
        <v>21</v>
      </c>
      <c r="G9" s="94">
        <v>43065</v>
      </c>
      <c r="H9" s="35" t="str">
        <f ca="1">DATEDIF(G9,TODAY(),"Y")&amp;" Tahun, "&amp;DATEDIF(G9,TODAY(),"YM")&amp;" Bulan "</f>
        <v xml:space="preserve">8 Tahun, 9 Bulan </v>
      </c>
      <c r="I9" s="33" t="s">
        <v>548</v>
      </c>
      <c r="J9" s="33" t="s">
        <v>259</v>
      </c>
      <c r="K9" s="17" t="s">
        <v>614</v>
      </c>
      <c r="L9" s="17" t="s">
        <v>615</v>
      </c>
      <c r="M9" s="17" t="s">
        <v>622</v>
      </c>
      <c r="N9" s="17" t="s">
        <v>621</v>
      </c>
      <c r="O9" s="17"/>
      <c r="P9" s="17"/>
      <c r="Q9" s="17">
        <v>2</v>
      </c>
      <c r="R9" s="17">
        <v>9</v>
      </c>
    </row>
    <row r="10" spans="1:18" ht="18.75" x14ac:dyDescent="0.25">
      <c r="A10" s="27">
        <v>4</v>
      </c>
      <c r="B10" s="33" t="s">
        <v>483</v>
      </c>
      <c r="C10" s="17">
        <v>4595</v>
      </c>
      <c r="D10" s="34" t="s">
        <v>507</v>
      </c>
      <c r="E10" s="17" t="s">
        <v>36</v>
      </c>
      <c r="F10" s="17" t="s">
        <v>21</v>
      </c>
      <c r="G10" s="94">
        <v>43199</v>
      </c>
      <c r="H10" s="35" t="str">
        <f t="shared" ca="1" si="0"/>
        <v xml:space="preserve">8 Tahun, 5 Bulan </v>
      </c>
      <c r="I10" s="33" t="s">
        <v>549</v>
      </c>
      <c r="J10" s="33" t="s">
        <v>580</v>
      </c>
      <c r="K10" s="17" t="s">
        <v>261</v>
      </c>
      <c r="L10" s="17" t="s">
        <v>619</v>
      </c>
      <c r="M10" s="17" t="s">
        <v>623</v>
      </c>
      <c r="N10" s="17" t="s">
        <v>623</v>
      </c>
      <c r="O10" s="17"/>
      <c r="P10" s="17"/>
      <c r="Q10" s="17">
        <v>1</v>
      </c>
      <c r="R10" s="17">
        <v>9</v>
      </c>
    </row>
    <row r="11" spans="1:18" ht="18.75" x14ac:dyDescent="0.25">
      <c r="A11" s="27">
        <v>5</v>
      </c>
      <c r="B11" s="33" t="s">
        <v>463</v>
      </c>
      <c r="C11" s="17">
        <v>4597</v>
      </c>
      <c r="D11" s="34" t="s">
        <v>508</v>
      </c>
      <c r="E11" s="17" t="s">
        <v>36</v>
      </c>
      <c r="F11" s="17" t="s">
        <v>21</v>
      </c>
      <c r="G11" s="94">
        <v>42863</v>
      </c>
      <c r="H11" s="35" t="str">
        <f t="shared" ca="1" si="0"/>
        <v xml:space="preserve">9 Tahun, 4 Bulan </v>
      </c>
      <c r="I11" s="33" t="s">
        <v>227</v>
      </c>
      <c r="J11" s="33" t="s">
        <v>228</v>
      </c>
      <c r="K11" s="17" t="s">
        <v>250</v>
      </c>
      <c r="L11" s="17" t="s">
        <v>619</v>
      </c>
      <c r="M11" s="17" t="s">
        <v>623</v>
      </c>
      <c r="N11" s="17" t="s">
        <v>620</v>
      </c>
      <c r="O11" s="17"/>
      <c r="P11" s="17"/>
      <c r="Q11" s="17">
        <v>1</v>
      </c>
      <c r="R11" s="17">
        <v>10</v>
      </c>
    </row>
    <row r="12" spans="1:18" ht="18.75" x14ac:dyDescent="0.25">
      <c r="A12" s="27">
        <v>6</v>
      </c>
      <c r="B12" s="33" t="s">
        <v>484</v>
      </c>
      <c r="C12" s="17">
        <v>4598</v>
      </c>
      <c r="D12" s="34" t="s">
        <v>509</v>
      </c>
      <c r="E12" s="17" t="s">
        <v>36</v>
      </c>
      <c r="F12" s="17" t="s">
        <v>21</v>
      </c>
      <c r="G12" s="94">
        <v>43242</v>
      </c>
      <c r="H12" s="35" t="str">
        <f t="shared" ca="1" si="0"/>
        <v xml:space="preserve">8 Tahun, 4 Bulan </v>
      </c>
      <c r="I12" s="33" t="s">
        <v>257</v>
      </c>
      <c r="J12" s="33" t="s">
        <v>258</v>
      </c>
      <c r="K12" s="17" t="s">
        <v>261</v>
      </c>
      <c r="L12" s="17" t="s">
        <v>617</v>
      </c>
      <c r="M12" s="17" t="s">
        <v>623</v>
      </c>
      <c r="N12" s="17" t="s">
        <v>620</v>
      </c>
      <c r="O12" s="17"/>
      <c r="P12" s="17"/>
      <c r="Q12" s="17">
        <v>2</v>
      </c>
      <c r="R12" s="17">
        <v>10</v>
      </c>
    </row>
    <row r="13" spans="1:18" ht="18.75" x14ac:dyDescent="0.25">
      <c r="A13" s="27">
        <v>7</v>
      </c>
      <c r="B13" s="33" t="s">
        <v>464</v>
      </c>
      <c r="C13" s="17">
        <v>4599</v>
      </c>
      <c r="D13" s="34" t="s">
        <v>510</v>
      </c>
      <c r="E13" s="17" t="s">
        <v>36</v>
      </c>
      <c r="F13" s="17" t="s">
        <v>21</v>
      </c>
      <c r="G13" s="94">
        <v>42897</v>
      </c>
      <c r="H13" s="35" t="str">
        <f t="shared" ca="1" si="0"/>
        <v xml:space="preserve">9 Tahun, 3 Bulan </v>
      </c>
      <c r="I13" s="33" t="s">
        <v>550</v>
      </c>
      <c r="J13" s="33" t="s">
        <v>581</v>
      </c>
      <c r="K13" s="17" t="s">
        <v>261</v>
      </c>
      <c r="L13" s="17" t="s">
        <v>250</v>
      </c>
      <c r="M13" s="17" t="s">
        <v>620</v>
      </c>
      <c r="N13" s="17" t="s">
        <v>621</v>
      </c>
      <c r="O13" s="17"/>
      <c r="P13" s="17"/>
      <c r="Q13" s="17">
        <v>2</v>
      </c>
      <c r="R13" s="17">
        <v>8</v>
      </c>
    </row>
    <row r="14" spans="1:18" ht="18.75" x14ac:dyDescent="0.25">
      <c r="A14" s="27">
        <v>8</v>
      </c>
      <c r="B14" s="33" t="s">
        <v>465</v>
      </c>
      <c r="C14" s="17">
        <v>4600</v>
      </c>
      <c r="D14" s="34" t="s">
        <v>511</v>
      </c>
      <c r="E14" s="17" t="s">
        <v>20</v>
      </c>
      <c r="F14" s="17" t="s">
        <v>21</v>
      </c>
      <c r="G14" s="94">
        <v>43059</v>
      </c>
      <c r="H14" s="35" t="str">
        <f t="shared" ca="1" si="0"/>
        <v xml:space="preserve">8 Tahun, 10 Bulan </v>
      </c>
      <c r="I14" s="33" t="s">
        <v>235</v>
      </c>
      <c r="J14" s="33" t="s">
        <v>236</v>
      </c>
      <c r="K14" s="17" t="s">
        <v>261</v>
      </c>
      <c r="L14" s="17" t="s">
        <v>619</v>
      </c>
      <c r="M14" s="17" t="s">
        <v>621</v>
      </c>
      <c r="N14" s="17" t="s">
        <v>621</v>
      </c>
      <c r="O14" s="17"/>
      <c r="P14" s="17"/>
      <c r="Q14" s="17">
        <v>2</v>
      </c>
      <c r="R14" s="17">
        <v>11</v>
      </c>
    </row>
    <row r="15" spans="1:18" ht="18.75" x14ac:dyDescent="0.25">
      <c r="A15" s="27">
        <v>9</v>
      </c>
      <c r="B15" s="33" t="s">
        <v>466</v>
      </c>
      <c r="C15" s="17">
        <v>4601</v>
      </c>
      <c r="D15" s="34" t="s">
        <v>512</v>
      </c>
      <c r="E15" s="17" t="s">
        <v>36</v>
      </c>
      <c r="F15" s="17" t="s">
        <v>21</v>
      </c>
      <c r="G15" s="94">
        <v>43265</v>
      </c>
      <c r="H15" s="35" t="str">
        <f t="shared" ca="1" si="0"/>
        <v xml:space="preserve">8 Tahun, 3 Bulan </v>
      </c>
      <c r="I15" s="33" t="s">
        <v>551</v>
      </c>
      <c r="J15" s="33" t="s">
        <v>582</v>
      </c>
      <c r="K15" s="17" t="s">
        <v>261</v>
      </c>
      <c r="L15" s="17" t="s">
        <v>261</v>
      </c>
      <c r="M15" s="17" t="s">
        <v>623</v>
      </c>
      <c r="N15" s="17" t="s">
        <v>185</v>
      </c>
      <c r="O15" s="17"/>
      <c r="P15" s="17"/>
      <c r="Q15" s="17">
        <v>1</v>
      </c>
      <c r="R15" s="17">
        <v>11</v>
      </c>
    </row>
    <row r="16" spans="1:18" ht="18.75" x14ac:dyDescent="0.25">
      <c r="A16" s="27">
        <v>10</v>
      </c>
      <c r="B16" s="33" t="s">
        <v>467</v>
      </c>
      <c r="C16" s="17">
        <v>4602</v>
      </c>
      <c r="D16" s="34" t="s">
        <v>513</v>
      </c>
      <c r="E16" s="17" t="s">
        <v>36</v>
      </c>
      <c r="F16" s="17" t="s">
        <v>21</v>
      </c>
      <c r="G16" s="94">
        <v>43125</v>
      </c>
      <c r="H16" s="35" t="str">
        <f t="shared" ca="1" si="0"/>
        <v xml:space="preserve">8 Tahun, 7 Bulan </v>
      </c>
      <c r="I16" s="33" t="s">
        <v>552</v>
      </c>
      <c r="J16" s="33" t="s">
        <v>583</v>
      </c>
      <c r="K16" s="17" t="s">
        <v>261</v>
      </c>
      <c r="L16" s="17" t="s">
        <v>619</v>
      </c>
      <c r="M16" s="17" t="s">
        <v>623</v>
      </c>
      <c r="N16" s="17" t="s">
        <v>622</v>
      </c>
      <c r="O16" s="17"/>
      <c r="P16" s="17"/>
      <c r="Q16" s="17">
        <v>2</v>
      </c>
      <c r="R16" s="17">
        <v>8</v>
      </c>
    </row>
    <row r="17" spans="1:18" ht="18.75" x14ac:dyDescent="0.25">
      <c r="A17" s="27">
        <v>11</v>
      </c>
      <c r="B17" s="33" t="s">
        <v>468</v>
      </c>
      <c r="C17" s="17">
        <v>4603</v>
      </c>
      <c r="D17" s="34" t="s">
        <v>514</v>
      </c>
      <c r="E17" s="17" t="s">
        <v>20</v>
      </c>
      <c r="F17" s="17" t="s">
        <v>128</v>
      </c>
      <c r="G17" s="94">
        <v>42981</v>
      </c>
      <c r="H17" s="35" t="str">
        <f t="shared" ca="1" si="0"/>
        <v xml:space="preserve">9 Tahun, 0 Bulan </v>
      </c>
      <c r="I17" s="33" t="s">
        <v>553</v>
      </c>
      <c r="J17" s="33" t="s">
        <v>584</v>
      </c>
      <c r="K17" s="17" t="s">
        <v>250</v>
      </c>
      <c r="L17" s="17" t="s">
        <v>619</v>
      </c>
      <c r="M17" s="17" t="s">
        <v>620</v>
      </c>
      <c r="N17" s="17" t="s">
        <v>623</v>
      </c>
      <c r="O17" s="17"/>
      <c r="P17" s="17"/>
      <c r="Q17" s="17">
        <v>2</v>
      </c>
      <c r="R17" s="17">
        <v>9</v>
      </c>
    </row>
    <row r="18" spans="1:18" ht="18.75" x14ac:dyDescent="0.25">
      <c r="A18" s="27">
        <v>12</v>
      </c>
      <c r="B18" s="33" t="s">
        <v>469</v>
      </c>
      <c r="C18" s="17">
        <v>4604</v>
      </c>
      <c r="D18" s="34" t="s">
        <v>515</v>
      </c>
      <c r="E18" s="17" t="s">
        <v>20</v>
      </c>
      <c r="F18" s="17" t="s">
        <v>21</v>
      </c>
      <c r="G18" s="94">
        <v>43383</v>
      </c>
      <c r="H18" s="35" t="str">
        <f t="shared" ca="1" si="0"/>
        <v xml:space="preserve">7 Tahun, 11 Bulan </v>
      </c>
      <c r="I18" s="33" t="s">
        <v>554</v>
      </c>
      <c r="J18" s="33" t="s">
        <v>585</v>
      </c>
      <c r="K18" s="17" t="s">
        <v>255</v>
      </c>
      <c r="L18" s="17" t="s">
        <v>619</v>
      </c>
      <c r="M18" s="17" t="s">
        <v>621</v>
      </c>
      <c r="N18" s="17" t="s">
        <v>621</v>
      </c>
      <c r="O18" s="17"/>
      <c r="P18" s="17"/>
      <c r="Q18" s="17">
        <v>3</v>
      </c>
      <c r="R18" s="17">
        <v>9</v>
      </c>
    </row>
    <row r="19" spans="1:18" ht="18.75" x14ac:dyDescent="0.25">
      <c r="A19" s="27">
        <v>13</v>
      </c>
      <c r="B19" s="33" t="s">
        <v>470</v>
      </c>
      <c r="C19" s="17">
        <v>4605</v>
      </c>
      <c r="D19" s="34" t="s">
        <v>516</v>
      </c>
      <c r="E19" s="17" t="s">
        <v>36</v>
      </c>
      <c r="F19" s="17" t="s">
        <v>21</v>
      </c>
      <c r="G19" s="94">
        <v>43338</v>
      </c>
      <c r="H19" s="35" t="str">
        <f t="shared" ca="1" si="0"/>
        <v xml:space="preserve">8 Tahun, 0 Bulan </v>
      </c>
      <c r="I19" s="33" t="s">
        <v>553</v>
      </c>
      <c r="J19" s="33" t="s">
        <v>586</v>
      </c>
      <c r="K19" s="17" t="s">
        <v>255</v>
      </c>
      <c r="L19" s="17" t="s">
        <v>255</v>
      </c>
      <c r="M19" s="17" t="s">
        <v>623</v>
      </c>
      <c r="N19" s="17" t="s">
        <v>621</v>
      </c>
      <c r="O19" s="17"/>
      <c r="P19" s="17"/>
      <c r="Q19" s="17">
        <v>3</v>
      </c>
      <c r="R19" s="17">
        <v>10</v>
      </c>
    </row>
    <row r="20" spans="1:18" ht="18.75" x14ac:dyDescent="0.25">
      <c r="A20" s="27">
        <v>14</v>
      </c>
      <c r="B20" s="33" t="s">
        <v>471</v>
      </c>
      <c r="C20" s="17">
        <v>4606</v>
      </c>
      <c r="D20" s="34" t="s">
        <v>517</v>
      </c>
      <c r="E20" s="17" t="s">
        <v>36</v>
      </c>
      <c r="F20" s="17" t="s">
        <v>21</v>
      </c>
      <c r="G20" s="94">
        <v>42951</v>
      </c>
      <c r="H20" s="35" t="str">
        <f t="shared" ca="1" si="0"/>
        <v xml:space="preserve">9 Tahun, 1 Bulan </v>
      </c>
      <c r="I20" s="33" t="s">
        <v>555</v>
      </c>
      <c r="J20" s="33" t="s">
        <v>587</v>
      </c>
      <c r="K20" s="17" t="s">
        <v>255</v>
      </c>
      <c r="L20" s="17" t="s">
        <v>619</v>
      </c>
      <c r="M20" s="17" t="s">
        <v>620</v>
      </c>
      <c r="N20" s="17" t="s">
        <v>621</v>
      </c>
      <c r="O20" s="17"/>
      <c r="P20" s="17"/>
      <c r="Q20" s="17">
        <v>2</v>
      </c>
      <c r="R20" s="17">
        <v>9</v>
      </c>
    </row>
    <row r="21" spans="1:18" ht="18.75" x14ac:dyDescent="0.25">
      <c r="A21" s="27">
        <v>15</v>
      </c>
      <c r="B21" s="33" t="s">
        <v>472</v>
      </c>
      <c r="C21" s="17">
        <v>4607</v>
      </c>
      <c r="D21" s="34" t="s">
        <v>518</v>
      </c>
      <c r="E21" s="17" t="s">
        <v>36</v>
      </c>
      <c r="F21" s="17" t="s">
        <v>21</v>
      </c>
      <c r="G21" s="94">
        <v>43118</v>
      </c>
      <c r="H21" s="35" t="str">
        <f t="shared" ca="1" si="0"/>
        <v xml:space="preserve">8 Tahun, 8 Bulan </v>
      </c>
      <c r="I21" s="33" t="s">
        <v>249</v>
      </c>
      <c r="J21" s="33" t="s">
        <v>588</v>
      </c>
      <c r="K21" s="17" t="s">
        <v>255</v>
      </c>
      <c r="L21" s="17" t="s">
        <v>619</v>
      </c>
      <c r="M21" s="17" t="s">
        <v>621</v>
      </c>
      <c r="N21" s="17" t="s">
        <v>621</v>
      </c>
      <c r="O21" s="17"/>
      <c r="P21" s="17"/>
      <c r="Q21" s="17">
        <v>2</v>
      </c>
      <c r="R21" s="17">
        <v>9</v>
      </c>
    </row>
    <row r="22" spans="1:18" ht="18.75" x14ac:dyDescent="0.25">
      <c r="A22" s="27">
        <v>16</v>
      </c>
      <c r="B22" s="33" t="s">
        <v>485</v>
      </c>
      <c r="C22" s="17">
        <v>4608</v>
      </c>
      <c r="D22" s="34" t="s">
        <v>519</v>
      </c>
      <c r="E22" s="17" t="s">
        <v>36</v>
      </c>
      <c r="F22" s="17" t="s">
        <v>21</v>
      </c>
      <c r="G22" s="94">
        <v>43122</v>
      </c>
      <c r="H22" s="35" t="str">
        <f t="shared" ca="1" si="0"/>
        <v xml:space="preserve">8 Tahun, 8 Bulan </v>
      </c>
      <c r="I22" s="33" t="s">
        <v>251</v>
      </c>
      <c r="J22" s="33" t="s">
        <v>252</v>
      </c>
      <c r="K22" s="17" t="s">
        <v>255</v>
      </c>
      <c r="L22" s="17" t="s">
        <v>619</v>
      </c>
      <c r="M22" s="17" t="s">
        <v>621</v>
      </c>
      <c r="N22" s="17" t="s">
        <v>621</v>
      </c>
      <c r="O22" s="17"/>
      <c r="P22" s="17"/>
      <c r="Q22" s="17">
        <v>1</v>
      </c>
      <c r="R22" s="17">
        <v>9</v>
      </c>
    </row>
    <row r="23" spans="1:18" ht="18.75" x14ac:dyDescent="0.25">
      <c r="A23" s="27">
        <v>17</v>
      </c>
      <c r="B23" s="33" t="s">
        <v>473</v>
      </c>
      <c r="C23" s="17">
        <v>4609</v>
      </c>
      <c r="D23" s="34" t="s">
        <v>520</v>
      </c>
      <c r="E23" s="17" t="s">
        <v>20</v>
      </c>
      <c r="F23" s="17" t="s">
        <v>21</v>
      </c>
      <c r="G23" s="94">
        <v>43241</v>
      </c>
      <c r="H23" s="35" t="str">
        <f t="shared" ca="1" si="0"/>
        <v xml:space="preserve">8 Tahun, 4 Bulan </v>
      </c>
      <c r="I23" s="33" t="s">
        <v>556</v>
      </c>
      <c r="J23" s="33" t="s">
        <v>589</v>
      </c>
      <c r="K23" s="17" t="s">
        <v>250</v>
      </c>
      <c r="L23" s="17" t="s">
        <v>619</v>
      </c>
      <c r="M23" s="17" t="s">
        <v>620</v>
      </c>
      <c r="N23" s="17" t="s">
        <v>621</v>
      </c>
      <c r="O23" s="17"/>
      <c r="P23" s="17"/>
      <c r="Q23" s="17">
        <v>1</v>
      </c>
      <c r="R23" s="17">
        <v>9</v>
      </c>
    </row>
    <row r="24" spans="1:18" ht="18.75" x14ac:dyDescent="0.25">
      <c r="A24" s="27">
        <v>18</v>
      </c>
      <c r="B24" s="33" t="s">
        <v>474</v>
      </c>
      <c r="C24" s="17">
        <v>4610</v>
      </c>
      <c r="D24" s="34" t="s">
        <v>521</v>
      </c>
      <c r="E24" s="17" t="s">
        <v>20</v>
      </c>
      <c r="F24" s="17" t="s">
        <v>21</v>
      </c>
      <c r="G24" s="94">
        <v>43274</v>
      </c>
      <c r="H24" s="35" t="str">
        <f t="shared" ca="1" si="0"/>
        <v xml:space="preserve">8 Tahun, 3 Bulan </v>
      </c>
      <c r="I24" s="33" t="s">
        <v>557</v>
      </c>
      <c r="J24" s="33" t="s">
        <v>590</v>
      </c>
      <c r="K24" s="17" t="s">
        <v>255</v>
      </c>
      <c r="L24" s="17" t="s">
        <v>619</v>
      </c>
      <c r="M24" s="17" t="s">
        <v>621</v>
      </c>
      <c r="N24" s="17" t="s">
        <v>621</v>
      </c>
      <c r="O24" s="17"/>
      <c r="P24" s="17"/>
      <c r="Q24" s="17">
        <v>2</v>
      </c>
      <c r="R24" s="17">
        <v>10</v>
      </c>
    </row>
    <row r="25" spans="1:18" ht="18.75" x14ac:dyDescent="0.25">
      <c r="A25" s="27">
        <v>19</v>
      </c>
      <c r="B25" s="33" t="s">
        <v>475</v>
      </c>
      <c r="C25" s="17">
        <v>4611</v>
      </c>
      <c r="D25" s="34" t="s">
        <v>522</v>
      </c>
      <c r="E25" s="17" t="s">
        <v>36</v>
      </c>
      <c r="F25" s="17" t="s">
        <v>21</v>
      </c>
      <c r="G25" s="94">
        <v>43199</v>
      </c>
      <c r="H25" s="35" t="str">
        <f t="shared" ca="1" si="0"/>
        <v xml:space="preserve">8 Tahun, 5 Bulan </v>
      </c>
      <c r="I25" s="33" t="s">
        <v>558</v>
      </c>
      <c r="J25" s="33" t="s">
        <v>591</v>
      </c>
      <c r="K25" s="17" t="s">
        <v>255</v>
      </c>
      <c r="L25" s="17" t="s">
        <v>619</v>
      </c>
      <c r="M25" s="17" t="s">
        <v>621</v>
      </c>
      <c r="N25" s="17" t="s">
        <v>623</v>
      </c>
      <c r="O25" s="17"/>
      <c r="P25" s="17"/>
      <c r="Q25" s="17">
        <v>1</v>
      </c>
      <c r="R25" s="17">
        <v>5</v>
      </c>
    </row>
    <row r="26" spans="1:18" ht="18.75" x14ac:dyDescent="0.25">
      <c r="A26" s="27">
        <v>20</v>
      </c>
      <c r="B26" s="33" t="s">
        <v>476</v>
      </c>
      <c r="C26" s="17">
        <v>4612</v>
      </c>
      <c r="D26" s="34" t="s">
        <v>523</v>
      </c>
      <c r="E26" s="17" t="s">
        <v>36</v>
      </c>
      <c r="F26" s="17" t="s">
        <v>21</v>
      </c>
      <c r="G26" s="94">
        <v>43383</v>
      </c>
      <c r="H26" s="35" t="str">
        <f t="shared" ca="1" si="0"/>
        <v xml:space="preserve">7 Tahun, 11 Bulan </v>
      </c>
      <c r="I26" s="33" t="s">
        <v>559</v>
      </c>
      <c r="J26" s="33" t="s">
        <v>592</v>
      </c>
      <c r="K26" s="17" t="s">
        <v>250</v>
      </c>
      <c r="L26" s="17" t="s">
        <v>619</v>
      </c>
      <c r="M26" s="17" t="s">
        <v>623</v>
      </c>
      <c r="N26" s="17" t="s">
        <v>621</v>
      </c>
      <c r="O26" s="17"/>
      <c r="P26" s="17"/>
      <c r="Q26" s="17">
        <v>2</v>
      </c>
      <c r="R26" s="17">
        <v>10</v>
      </c>
    </row>
    <row r="27" spans="1:18" ht="18.75" x14ac:dyDescent="0.25">
      <c r="A27" s="27">
        <v>21</v>
      </c>
      <c r="B27" s="33" t="s">
        <v>477</v>
      </c>
      <c r="C27" s="17">
        <v>4613</v>
      </c>
      <c r="D27" s="34" t="s">
        <v>524</v>
      </c>
      <c r="E27" s="17" t="s">
        <v>36</v>
      </c>
      <c r="F27" s="17" t="s">
        <v>21</v>
      </c>
      <c r="G27" s="94">
        <v>43006</v>
      </c>
      <c r="H27" s="35" t="str">
        <f t="shared" ca="1" si="0"/>
        <v xml:space="preserve">8 Tahun, 11 Bulan </v>
      </c>
      <c r="I27" s="33" t="s">
        <v>312</v>
      </c>
      <c r="J27" s="33" t="s">
        <v>593</v>
      </c>
      <c r="K27" s="17" t="s">
        <v>255</v>
      </c>
      <c r="L27" s="17" t="s">
        <v>619</v>
      </c>
      <c r="M27" s="17" t="s">
        <v>621</v>
      </c>
      <c r="N27" s="17" t="s">
        <v>621</v>
      </c>
      <c r="O27" s="17"/>
      <c r="P27" s="17"/>
      <c r="Q27" s="17">
        <v>1</v>
      </c>
      <c r="R27" s="17">
        <v>11</v>
      </c>
    </row>
    <row r="28" spans="1:18" ht="18.75" x14ac:dyDescent="0.25">
      <c r="A28" s="27">
        <v>22</v>
      </c>
      <c r="B28" s="33" t="s">
        <v>480</v>
      </c>
      <c r="C28" s="17">
        <v>4614</v>
      </c>
      <c r="D28" s="34" t="s">
        <v>525</v>
      </c>
      <c r="E28" s="17" t="s">
        <v>20</v>
      </c>
      <c r="F28" s="17" t="s">
        <v>21</v>
      </c>
      <c r="G28" s="94">
        <v>43313</v>
      </c>
      <c r="H28" s="35" t="str">
        <f t="shared" ca="1" si="0"/>
        <v xml:space="preserve">8 Tahun, 1 Bulan </v>
      </c>
      <c r="I28" s="33" t="s">
        <v>560</v>
      </c>
      <c r="J28" s="33" t="s">
        <v>594</v>
      </c>
      <c r="K28" s="17" t="s">
        <v>261</v>
      </c>
      <c r="L28" s="17" t="s">
        <v>619</v>
      </c>
      <c r="M28" s="17" t="s">
        <v>620</v>
      </c>
      <c r="N28" s="17" t="s">
        <v>621</v>
      </c>
      <c r="O28" s="17"/>
      <c r="P28" s="17"/>
      <c r="Q28" s="17">
        <v>3</v>
      </c>
      <c r="R28" s="17">
        <v>7</v>
      </c>
    </row>
    <row r="29" spans="1:18" ht="18.75" x14ac:dyDescent="0.25">
      <c r="A29" s="27">
        <v>23</v>
      </c>
      <c r="B29" s="33" t="s">
        <v>478</v>
      </c>
      <c r="C29" s="17">
        <v>4615</v>
      </c>
      <c r="D29" s="34" t="s">
        <v>526</v>
      </c>
      <c r="E29" s="17" t="s">
        <v>20</v>
      </c>
      <c r="F29" s="17" t="s">
        <v>21</v>
      </c>
      <c r="G29" s="94">
        <v>43080</v>
      </c>
      <c r="H29" s="35" t="str">
        <f t="shared" ca="1" si="0"/>
        <v xml:space="preserve">8 Tahun, 9 Bulan </v>
      </c>
      <c r="I29" s="33" t="s">
        <v>561</v>
      </c>
      <c r="J29" s="33" t="s">
        <v>595</v>
      </c>
      <c r="K29" s="17" t="s">
        <v>255</v>
      </c>
      <c r="L29" s="17" t="s">
        <v>619</v>
      </c>
      <c r="M29" s="17" t="s">
        <v>621</v>
      </c>
      <c r="N29" s="17" t="s">
        <v>620</v>
      </c>
      <c r="O29" s="17"/>
      <c r="P29" s="17"/>
      <c r="Q29" s="17">
        <v>3</v>
      </c>
      <c r="R29" s="17">
        <v>11</v>
      </c>
    </row>
    <row r="30" spans="1:18" ht="18.75" x14ac:dyDescent="0.25">
      <c r="A30" s="27">
        <v>24</v>
      </c>
      <c r="B30" s="33" t="s">
        <v>479</v>
      </c>
      <c r="C30" s="17">
        <v>4616</v>
      </c>
      <c r="D30" s="34" t="s">
        <v>527</v>
      </c>
      <c r="E30" s="17" t="s">
        <v>20</v>
      </c>
      <c r="F30" s="17" t="s">
        <v>21</v>
      </c>
      <c r="G30" s="94">
        <v>42991</v>
      </c>
      <c r="H30" s="35" t="str">
        <f t="shared" ca="1" si="0"/>
        <v xml:space="preserve">9 Tahun, 0 Bulan </v>
      </c>
      <c r="I30" s="33" t="s">
        <v>562</v>
      </c>
      <c r="J30" s="33" t="s">
        <v>596</v>
      </c>
      <c r="K30" s="17" t="s">
        <v>255</v>
      </c>
      <c r="L30" s="17" t="s">
        <v>619</v>
      </c>
      <c r="M30" s="17" t="s">
        <v>623</v>
      </c>
      <c r="N30" s="17" t="s">
        <v>623</v>
      </c>
      <c r="O30" s="17"/>
      <c r="P30" s="17"/>
      <c r="Q30" s="17">
        <v>1</v>
      </c>
      <c r="R30" s="17">
        <v>11</v>
      </c>
    </row>
    <row r="31" spans="1:18" ht="18.75" x14ac:dyDescent="0.25">
      <c r="A31" s="27">
        <v>25</v>
      </c>
      <c r="B31" s="33" t="s">
        <v>486</v>
      </c>
      <c r="C31" s="17">
        <v>4617</v>
      </c>
      <c r="D31" s="34" t="s">
        <v>528</v>
      </c>
      <c r="E31" s="17" t="s">
        <v>20</v>
      </c>
      <c r="F31" s="17" t="s">
        <v>21</v>
      </c>
      <c r="G31" s="94">
        <v>42978</v>
      </c>
      <c r="H31" s="35" t="str">
        <f t="shared" ca="1" si="0"/>
        <v xml:space="preserve">9 Tahun, 0 Bulan </v>
      </c>
      <c r="I31" s="33" t="s">
        <v>563</v>
      </c>
      <c r="J31" s="33" t="s">
        <v>597</v>
      </c>
      <c r="K31" s="17" t="s">
        <v>261</v>
      </c>
      <c r="L31" s="17" t="s">
        <v>619</v>
      </c>
      <c r="M31" s="17" t="s">
        <v>623</v>
      </c>
      <c r="N31" s="17" t="s">
        <v>621</v>
      </c>
      <c r="O31" s="17"/>
      <c r="P31" s="17"/>
      <c r="Q31" s="17">
        <v>1</v>
      </c>
      <c r="R31" s="17">
        <v>11</v>
      </c>
    </row>
    <row r="32" spans="1:18" ht="18.75" x14ac:dyDescent="0.3">
      <c r="A32" s="27">
        <v>26</v>
      </c>
      <c r="B32" s="38" t="s">
        <v>481</v>
      </c>
      <c r="C32" s="17">
        <v>4618</v>
      </c>
      <c r="D32" s="34" t="s">
        <v>529</v>
      </c>
      <c r="E32" s="17" t="s">
        <v>20</v>
      </c>
      <c r="F32" s="17" t="s">
        <v>21</v>
      </c>
      <c r="G32" s="94">
        <v>42917</v>
      </c>
      <c r="H32" s="35" t="str">
        <f t="shared" ca="1" si="0"/>
        <v xml:space="preserve">9 Tahun, 2 Bulan </v>
      </c>
      <c r="I32" s="33" t="s">
        <v>564</v>
      </c>
      <c r="J32" s="33" t="s">
        <v>598</v>
      </c>
      <c r="K32" s="17" t="s">
        <v>250</v>
      </c>
      <c r="L32" s="17" t="s">
        <v>619</v>
      </c>
      <c r="M32" s="17" t="s">
        <v>621</v>
      </c>
      <c r="N32" s="17" t="s">
        <v>621</v>
      </c>
      <c r="O32" s="17"/>
      <c r="P32" s="17"/>
      <c r="Q32" s="17">
        <v>3</v>
      </c>
      <c r="R32" s="17">
        <v>12</v>
      </c>
    </row>
    <row r="33" spans="1:18" ht="18.75" x14ac:dyDescent="0.3">
      <c r="A33" s="27">
        <v>27</v>
      </c>
      <c r="B33" s="38" t="s">
        <v>487</v>
      </c>
      <c r="C33" s="17">
        <v>4620</v>
      </c>
      <c r="D33" s="34" t="s">
        <v>530</v>
      </c>
      <c r="E33" s="17" t="s">
        <v>20</v>
      </c>
      <c r="F33" s="17" t="s">
        <v>21</v>
      </c>
      <c r="G33" s="94">
        <v>42906</v>
      </c>
      <c r="H33" s="35" t="str">
        <f t="shared" ca="1" si="0"/>
        <v xml:space="preserve">9 Tahun, 3 Bulan </v>
      </c>
      <c r="I33" s="33" t="s">
        <v>565</v>
      </c>
      <c r="J33" s="33" t="s">
        <v>599</v>
      </c>
      <c r="K33" s="17" t="s">
        <v>255</v>
      </c>
      <c r="L33" s="17" t="s">
        <v>619</v>
      </c>
      <c r="M33" s="17" t="s">
        <v>621</v>
      </c>
      <c r="N33" s="17" t="s">
        <v>621</v>
      </c>
      <c r="O33" s="17"/>
      <c r="P33" s="17"/>
      <c r="Q33" s="17">
        <v>2</v>
      </c>
      <c r="R33" s="17">
        <v>8</v>
      </c>
    </row>
    <row r="34" spans="1:18" ht="18.75" x14ac:dyDescent="0.3">
      <c r="A34" s="27">
        <v>28</v>
      </c>
      <c r="B34" s="38" t="s">
        <v>488</v>
      </c>
      <c r="C34" s="17">
        <v>4621</v>
      </c>
      <c r="D34" s="34" t="s">
        <v>531</v>
      </c>
      <c r="E34" s="17" t="s">
        <v>20</v>
      </c>
      <c r="F34" s="17" t="s">
        <v>21</v>
      </c>
      <c r="G34" s="94">
        <v>43245</v>
      </c>
      <c r="H34" s="35" t="str">
        <f t="shared" ca="1" si="0"/>
        <v xml:space="preserve">8 Tahun, 3 Bulan </v>
      </c>
      <c r="I34" s="33" t="s">
        <v>566</v>
      </c>
      <c r="J34" s="33" t="s">
        <v>600</v>
      </c>
      <c r="K34" s="17" t="s">
        <v>255</v>
      </c>
      <c r="L34" s="17" t="s">
        <v>619</v>
      </c>
      <c r="M34" s="17" t="s">
        <v>621</v>
      </c>
      <c r="N34" s="17" t="s">
        <v>621</v>
      </c>
      <c r="O34" s="17"/>
      <c r="P34" s="17"/>
      <c r="Q34" s="17">
        <v>2</v>
      </c>
      <c r="R34" s="17">
        <v>8</v>
      </c>
    </row>
    <row r="35" spans="1:18" ht="18.75" x14ac:dyDescent="0.3">
      <c r="A35" s="27">
        <v>29</v>
      </c>
      <c r="B35" s="38" t="s">
        <v>489</v>
      </c>
      <c r="C35" s="17">
        <v>4622</v>
      </c>
      <c r="D35" s="34" t="s">
        <v>532</v>
      </c>
      <c r="E35" s="17" t="s">
        <v>20</v>
      </c>
      <c r="F35" s="17" t="s">
        <v>21</v>
      </c>
      <c r="G35" s="94">
        <v>43051</v>
      </c>
      <c r="H35" s="35" t="str">
        <f t="shared" ca="1" si="0"/>
        <v xml:space="preserve">8 Tahun, 10 Bulan </v>
      </c>
      <c r="I35" s="33" t="s">
        <v>489</v>
      </c>
      <c r="J35" s="33" t="s">
        <v>601</v>
      </c>
      <c r="K35" s="17" t="s">
        <v>250</v>
      </c>
      <c r="L35" s="17" t="s">
        <v>619</v>
      </c>
      <c r="M35" s="17" t="s">
        <v>623</v>
      </c>
      <c r="N35" s="17" t="s">
        <v>620</v>
      </c>
      <c r="O35" s="17"/>
      <c r="P35" s="17"/>
      <c r="Q35" s="17">
        <v>3</v>
      </c>
      <c r="R35" s="17">
        <v>3</v>
      </c>
    </row>
    <row r="36" spans="1:18" ht="18.75" x14ac:dyDescent="0.3">
      <c r="A36" s="27">
        <v>30</v>
      </c>
      <c r="B36" s="38" t="s">
        <v>490</v>
      </c>
      <c r="C36" s="17">
        <v>4624</v>
      </c>
      <c r="D36" s="34" t="s">
        <v>533</v>
      </c>
      <c r="E36" s="17" t="s">
        <v>20</v>
      </c>
      <c r="F36" s="17" t="s">
        <v>21</v>
      </c>
      <c r="G36" s="94">
        <v>42842</v>
      </c>
      <c r="H36" s="35" t="str">
        <f t="shared" ca="1" si="0"/>
        <v xml:space="preserve">9 Tahun, 5 Bulan </v>
      </c>
      <c r="I36" s="33" t="s">
        <v>567</v>
      </c>
      <c r="J36" s="33" t="s">
        <v>602</v>
      </c>
      <c r="K36" s="17" t="s">
        <v>616</v>
      </c>
      <c r="L36" s="17" t="s">
        <v>619</v>
      </c>
      <c r="M36" s="17" t="s">
        <v>621</v>
      </c>
      <c r="N36" s="17" t="s">
        <v>620</v>
      </c>
      <c r="O36" s="17"/>
      <c r="P36" s="17"/>
      <c r="Q36" s="17">
        <v>1</v>
      </c>
      <c r="R36" s="17">
        <v>11</v>
      </c>
    </row>
    <row r="37" spans="1:18" ht="18.75" x14ac:dyDescent="0.3">
      <c r="A37" s="27">
        <v>31</v>
      </c>
      <c r="B37" s="38" t="s">
        <v>491</v>
      </c>
      <c r="C37" s="17">
        <v>4626</v>
      </c>
      <c r="D37" s="34" t="s">
        <v>534</v>
      </c>
      <c r="E37" s="17" t="s">
        <v>20</v>
      </c>
      <c r="F37" s="17" t="s">
        <v>21</v>
      </c>
      <c r="G37" s="94">
        <v>43095</v>
      </c>
      <c r="H37" s="35" t="str">
        <f t="shared" ca="1" si="0"/>
        <v xml:space="preserve">8 Tahun, 8 Bulan </v>
      </c>
      <c r="I37" s="33" t="s">
        <v>143</v>
      </c>
      <c r="J37" s="33" t="s">
        <v>603</v>
      </c>
      <c r="K37" s="17" t="s">
        <v>255</v>
      </c>
      <c r="L37" s="17" t="s">
        <v>619</v>
      </c>
      <c r="M37" s="17" t="s">
        <v>620</v>
      </c>
      <c r="N37" s="17" t="s">
        <v>620</v>
      </c>
      <c r="O37" s="17"/>
      <c r="P37" s="17"/>
      <c r="Q37" s="17">
        <v>3</v>
      </c>
      <c r="R37" s="17">
        <v>9</v>
      </c>
    </row>
    <row r="38" spans="1:18" ht="18.75" x14ac:dyDescent="0.3">
      <c r="A38" s="27">
        <v>32</v>
      </c>
      <c r="B38" s="38" t="s">
        <v>492</v>
      </c>
      <c r="C38" s="17">
        <v>4627</v>
      </c>
      <c r="D38" s="34" t="s">
        <v>535</v>
      </c>
      <c r="E38" s="17" t="s">
        <v>20</v>
      </c>
      <c r="F38" s="17" t="s">
        <v>21</v>
      </c>
      <c r="G38" s="94">
        <v>43242</v>
      </c>
      <c r="H38" s="35" t="str">
        <f t="shared" ca="1" si="0"/>
        <v xml:space="preserve">8 Tahun, 4 Bulan </v>
      </c>
      <c r="I38" s="33" t="s">
        <v>568</v>
      </c>
      <c r="J38" s="33" t="s">
        <v>604</v>
      </c>
      <c r="K38" s="17" t="s">
        <v>255</v>
      </c>
      <c r="L38" s="17" t="s">
        <v>619</v>
      </c>
      <c r="M38" s="17" t="s">
        <v>621</v>
      </c>
      <c r="N38" s="17" t="s">
        <v>621</v>
      </c>
      <c r="O38" s="17"/>
      <c r="P38" s="17"/>
      <c r="Q38" s="17">
        <v>2</v>
      </c>
      <c r="R38" s="17">
        <v>10</v>
      </c>
    </row>
    <row r="39" spans="1:18" ht="18.75" x14ac:dyDescent="0.3">
      <c r="A39" s="27">
        <v>33</v>
      </c>
      <c r="B39" s="38" t="s">
        <v>493</v>
      </c>
      <c r="C39" s="17">
        <v>4628</v>
      </c>
      <c r="D39" s="34" t="s">
        <v>536</v>
      </c>
      <c r="E39" s="17" t="s">
        <v>36</v>
      </c>
      <c r="F39" s="17" t="s">
        <v>21</v>
      </c>
      <c r="G39" s="94">
        <v>43246</v>
      </c>
      <c r="H39" s="35" t="str">
        <f t="shared" ca="1" si="0"/>
        <v xml:space="preserve">8 Tahun, 3 Bulan </v>
      </c>
      <c r="I39" s="33" t="s">
        <v>244</v>
      </c>
      <c r="J39" s="33" t="s">
        <v>605</v>
      </c>
      <c r="K39" s="17" t="s">
        <v>616</v>
      </c>
      <c r="L39" s="17" t="s">
        <v>619</v>
      </c>
      <c r="M39" s="17" t="s">
        <v>623</v>
      </c>
      <c r="N39" s="17" t="s">
        <v>623</v>
      </c>
      <c r="O39" s="17"/>
      <c r="P39" s="17"/>
      <c r="Q39" s="17">
        <v>2</v>
      </c>
      <c r="R39" s="17">
        <v>9</v>
      </c>
    </row>
    <row r="40" spans="1:18" ht="18.75" x14ac:dyDescent="0.3">
      <c r="A40" s="27">
        <v>34</v>
      </c>
      <c r="B40" s="38" t="s">
        <v>494</v>
      </c>
      <c r="C40" s="17">
        <v>4629</v>
      </c>
      <c r="D40" s="34" t="s">
        <v>537</v>
      </c>
      <c r="E40" s="17" t="s">
        <v>36</v>
      </c>
      <c r="F40" s="17" t="s">
        <v>21</v>
      </c>
      <c r="G40" s="94">
        <v>42999</v>
      </c>
      <c r="H40" s="35" t="str">
        <f t="shared" ca="1" si="0"/>
        <v xml:space="preserve">9 Tahun, 0 Bulan </v>
      </c>
      <c r="I40" s="33" t="s">
        <v>569</v>
      </c>
      <c r="J40" s="33" t="s">
        <v>606</v>
      </c>
      <c r="K40" s="17" t="s">
        <v>250</v>
      </c>
      <c r="L40" s="17" t="s">
        <v>619</v>
      </c>
      <c r="M40" s="17" t="s">
        <v>620</v>
      </c>
      <c r="N40" s="17" t="s">
        <v>620</v>
      </c>
      <c r="O40" s="17"/>
      <c r="P40" s="17"/>
      <c r="Q40" s="17">
        <v>3</v>
      </c>
      <c r="R40" s="17">
        <v>9</v>
      </c>
    </row>
    <row r="41" spans="1:18" ht="18.75" x14ac:dyDescent="0.3">
      <c r="A41" s="27">
        <v>35</v>
      </c>
      <c r="B41" s="38" t="s">
        <v>495</v>
      </c>
      <c r="C41" s="17">
        <v>4630</v>
      </c>
      <c r="D41" s="34" t="s">
        <v>538</v>
      </c>
      <c r="E41" s="17" t="s">
        <v>36</v>
      </c>
      <c r="F41" s="17" t="s">
        <v>21</v>
      </c>
      <c r="G41" s="94">
        <v>43271</v>
      </c>
      <c r="H41" s="35" t="str">
        <f t="shared" ca="1" si="0"/>
        <v xml:space="preserve">8 Tahun, 3 Bulan </v>
      </c>
      <c r="I41" s="33" t="s">
        <v>570</v>
      </c>
      <c r="J41" s="33" t="s">
        <v>607</v>
      </c>
      <c r="K41" s="17" t="s">
        <v>250</v>
      </c>
      <c r="L41" s="17" t="s">
        <v>619</v>
      </c>
      <c r="M41" s="17" t="s">
        <v>623</v>
      </c>
      <c r="N41" s="17" t="s">
        <v>621</v>
      </c>
      <c r="O41" s="17"/>
      <c r="P41" s="17"/>
      <c r="Q41" s="17">
        <v>4</v>
      </c>
      <c r="R41" s="17">
        <v>13</v>
      </c>
    </row>
    <row r="42" spans="1:18" ht="18.75" x14ac:dyDescent="0.3">
      <c r="A42" s="27">
        <v>36</v>
      </c>
      <c r="B42" s="38" t="s">
        <v>496</v>
      </c>
      <c r="C42" s="17">
        <v>4631</v>
      </c>
      <c r="D42" s="34" t="s">
        <v>539</v>
      </c>
      <c r="E42" s="17" t="s">
        <v>36</v>
      </c>
      <c r="F42" s="17" t="s">
        <v>21</v>
      </c>
      <c r="G42" s="94">
        <v>43062</v>
      </c>
      <c r="H42" s="35" t="str">
        <f t="shared" ca="1" si="0"/>
        <v xml:space="preserve">8 Tahun, 10 Bulan </v>
      </c>
      <c r="I42" s="33" t="s">
        <v>571</v>
      </c>
      <c r="J42" s="33" t="s">
        <v>608</v>
      </c>
      <c r="K42" s="17" t="s">
        <v>261</v>
      </c>
      <c r="L42" s="17" t="s">
        <v>250</v>
      </c>
      <c r="M42" s="17" t="s">
        <v>621</v>
      </c>
      <c r="N42" s="17" t="s">
        <v>620</v>
      </c>
      <c r="O42" s="17"/>
      <c r="P42" s="17"/>
      <c r="Q42" s="17">
        <v>3</v>
      </c>
      <c r="R42" s="17">
        <v>9</v>
      </c>
    </row>
    <row r="43" spans="1:18" ht="18.75" x14ac:dyDescent="0.3">
      <c r="A43" s="27">
        <v>37</v>
      </c>
      <c r="B43" s="38" t="s">
        <v>497</v>
      </c>
      <c r="C43" s="17">
        <v>4632</v>
      </c>
      <c r="D43" s="34">
        <v>3182464263</v>
      </c>
      <c r="E43" s="17" t="s">
        <v>20</v>
      </c>
      <c r="F43" s="17" t="s">
        <v>21</v>
      </c>
      <c r="G43" s="94">
        <v>43152</v>
      </c>
      <c r="H43" s="35" t="str">
        <f t="shared" ca="1" si="0"/>
        <v xml:space="preserve">8 Tahun, 7 Bulan </v>
      </c>
      <c r="I43" s="33" t="s">
        <v>572</v>
      </c>
      <c r="J43" s="33" t="s">
        <v>609</v>
      </c>
      <c r="K43" s="17" t="s">
        <v>615</v>
      </c>
      <c r="L43" s="17" t="s">
        <v>619</v>
      </c>
      <c r="M43" s="17" t="s">
        <v>623</v>
      </c>
      <c r="N43" s="17" t="s">
        <v>623</v>
      </c>
      <c r="O43" s="17"/>
      <c r="P43" s="17"/>
      <c r="Q43" s="17">
        <v>2</v>
      </c>
      <c r="R43" s="17">
        <v>8</v>
      </c>
    </row>
    <row r="44" spans="1:18" ht="18.75" x14ac:dyDescent="0.3">
      <c r="A44" s="27">
        <v>38</v>
      </c>
      <c r="B44" s="38" t="s">
        <v>498</v>
      </c>
      <c r="C44" s="17">
        <v>4633</v>
      </c>
      <c r="D44" s="34" t="s">
        <v>540</v>
      </c>
      <c r="E44" s="17" t="s">
        <v>36</v>
      </c>
      <c r="F44" s="17" t="s">
        <v>21</v>
      </c>
      <c r="G44" s="94">
        <v>43132</v>
      </c>
      <c r="H44" s="35" t="str">
        <f t="shared" ca="1" si="0"/>
        <v xml:space="preserve">8 Tahun, 7 Bulan </v>
      </c>
      <c r="I44" s="33" t="s">
        <v>253</v>
      </c>
      <c r="J44" s="33" t="s">
        <v>254</v>
      </c>
      <c r="K44" s="17" t="s">
        <v>255</v>
      </c>
      <c r="L44" s="17" t="s">
        <v>250</v>
      </c>
      <c r="M44" s="17" t="s">
        <v>621</v>
      </c>
      <c r="N44" s="17" t="s">
        <v>620</v>
      </c>
      <c r="O44" s="17"/>
      <c r="P44" s="17"/>
      <c r="Q44" s="17">
        <v>2</v>
      </c>
      <c r="R44" s="17">
        <v>10</v>
      </c>
    </row>
    <row r="45" spans="1:18" ht="18.75" x14ac:dyDescent="0.3">
      <c r="A45" s="27">
        <v>39</v>
      </c>
      <c r="B45" s="38" t="s">
        <v>499</v>
      </c>
      <c r="C45" s="17">
        <v>4634</v>
      </c>
      <c r="D45" s="34" t="s">
        <v>541</v>
      </c>
      <c r="E45" s="17" t="s">
        <v>36</v>
      </c>
      <c r="F45" s="17" t="s">
        <v>21</v>
      </c>
      <c r="G45" s="94">
        <v>43130</v>
      </c>
      <c r="H45" s="35" t="str">
        <f t="shared" ca="1" si="0"/>
        <v xml:space="preserve">8 Tahun, 7 Bulan </v>
      </c>
      <c r="I45" s="33" t="s">
        <v>573</v>
      </c>
      <c r="J45" s="33" t="s">
        <v>610</v>
      </c>
      <c r="K45" s="17" t="s">
        <v>255</v>
      </c>
      <c r="L45" s="17" t="s">
        <v>255</v>
      </c>
      <c r="M45" s="17" t="s">
        <v>621</v>
      </c>
      <c r="N45" s="17" t="s">
        <v>621</v>
      </c>
      <c r="O45" s="17"/>
      <c r="P45" s="17"/>
      <c r="Q45" s="17">
        <v>1</v>
      </c>
      <c r="R45" s="17">
        <v>10</v>
      </c>
    </row>
    <row r="46" spans="1:18" ht="18.75" x14ac:dyDescent="0.3">
      <c r="A46" s="27">
        <v>40</v>
      </c>
      <c r="B46" s="38" t="s">
        <v>500</v>
      </c>
      <c r="C46" s="17">
        <v>4635</v>
      </c>
      <c r="D46" s="34" t="s">
        <v>542</v>
      </c>
      <c r="E46" s="17" t="s">
        <v>36</v>
      </c>
      <c r="F46" s="17" t="s">
        <v>21</v>
      </c>
      <c r="G46" s="94">
        <v>43197</v>
      </c>
      <c r="H46" s="35" t="str">
        <f t="shared" ca="1" si="0"/>
        <v xml:space="preserve">8 Tahun, 5 Bulan </v>
      </c>
      <c r="I46" s="33" t="s">
        <v>574</v>
      </c>
      <c r="J46" s="33" t="s">
        <v>611</v>
      </c>
      <c r="K46" s="17" t="s">
        <v>617</v>
      </c>
      <c r="L46" s="17" t="s">
        <v>617</v>
      </c>
      <c r="M46" s="17" t="s">
        <v>620</v>
      </c>
      <c r="N46" s="17" t="s">
        <v>621</v>
      </c>
      <c r="O46" s="17"/>
      <c r="P46" s="17"/>
      <c r="Q46" s="17">
        <v>2</v>
      </c>
      <c r="R46" s="17">
        <v>10</v>
      </c>
    </row>
    <row r="47" spans="1:18" ht="18.75" x14ac:dyDescent="0.3">
      <c r="A47" s="27">
        <v>41</v>
      </c>
      <c r="B47" s="38" t="s">
        <v>501</v>
      </c>
      <c r="C47" s="17">
        <v>4636</v>
      </c>
      <c r="D47" s="34" t="s">
        <v>543</v>
      </c>
      <c r="E47" s="17" t="s">
        <v>36</v>
      </c>
      <c r="F47" s="17" t="s">
        <v>21</v>
      </c>
      <c r="G47" s="94">
        <v>43271</v>
      </c>
      <c r="H47" s="35" t="str">
        <f t="shared" ca="1" si="0"/>
        <v xml:space="preserve">8 Tahun, 3 Bulan </v>
      </c>
      <c r="I47" s="33" t="s">
        <v>575</v>
      </c>
      <c r="J47" s="33" t="s">
        <v>612</v>
      </c>
      <c r="K47" s="17" t="s">
        <v>616</v>
      </c>
      <c r="L47" s="17" t="s">
        <v>619</v>
      </c>
      <c r="M47" s="17" t="s">
        <v>621</v>
      </c>
      <c r="N47" s="17" t="s">
        <v>621</v>
      </c>
      <c r="O47" s="17"/>
      <c r="P47" s="17"/>
      <c r="Q47" s="17">
        <v>3</v>
      </c>
      <c r="R47" s="17">
        <v>9</v>
      </c>
    </row>
    <row r="48" spans="1:18" ht="18.75" x14ac:dyDescent="0.3">
      <c r="A48" s="27">
        <v>42</v>
      </c>
      <c r="B48" s="38" t="s">
        <v>502</v>
      </c>
      <c r="C48" s="17">
        <v>4637</v>
      </c>
      <c r="D48" s="34" t="s">
        <v>544</v>
      </c>
      <c r="E48" s="17" t="s">
        <v>36</v>
      </c>
      <c r="F48" s="17" t="s">
        <v>21</v>
      </c>
      <c r="G48" s="94">
        <v>43211</v>
      </c>
      <c r="H48" s="35" t="str">
        <f t="shared" ca="1" si="0"/>
        <v xml:space="preserve">8 Tahun, 5 Bulan </v>
      </c>
      <c r="I48" s="33" t="s">
        <v>576</v>
      </c>
      <c r="J48" s="33" t="s">
        <v>613</v>
      </c>
      <c r="K48" s="17" t="s">
        <v>250</v>
      </c>
      <c r="L48" s="17" t="s">
        <v>619</v>
      </c>
      <c r="M48" s="17" t="s">
        <v>620</v>
      </c>
      <c r="N48" s="17" t="s">
        <v>621</v>
      </c>
      <c r="O48" s="17"/>
      <c r="P48" s="17"/>
      <c r="Q48" s="17">
        <v>2</v>
      </c>
      <c r="R48" s="17">
        <v>8</v>
      </c>
    </row>
    <row r="49" spans="1:18" ht="18.75" x14ac:dyDescent="0.3">
      <c r="A49" s="27">
        <v>43</v>
      </c>
      <c r="B49" s="38" t="s">
        <v>503</v>
      </c>
      <c r="C49" s="17">
        <v>4639</v>
      </c>
      <c r="D49" s="34" t="s">
        <v>545</v>
      </c>
      <c r="E49" s="17" t="s">
        <v>36</v>
      </c>
      <c r="F49" s="17" t="s">
        <v>21</v>
      </c>
      <c r="G49" s="94">
        <v>43394</v>
      </c>
      <c r="H49" s="35" t="str">
        <f t="shared" ca="1" si="0"/>
        <v xml:space="preserve">7 Tahun, 11 Bulan </v>
      </c>
      <c r="I49" s="33" t="s">
        <v>577</v>
      </c>
      <c r="J49" s="33" t="s">
        <v>340</v>
      </c>
      <c r="K49" s="17" t="s">
        <v>618</v>
      </c>
      <c r="L49" s="17" t="s">
        <v>618</v>
      </c>
      <c r="M49" s="17" t="s">
        <v>620</v>
      </c>
      <c r="N49" s="17" t="s">
        <v>620</v>
      </c>
      <c r="O49" s="17"/>
      <c r="P49" s="17"/>
      <c r="Q49" s="17">
        <v>2</v>
      </c>
      <c r="R49" s="17">
        <v>1</v>
      </c>
    </row>
    <row r="52" spans="1:18" ht="18.75" x14ac:dyDescent="0.3">
      <c r="C52" s="7" t="s">
        <v>212</v>
      </c>
      <c r="D52" s="7"/>
      <c r="E52" s="7">
        <f>COUNTIF(E7:E49,"L")</f>
        <v>19</v>
      </c>
    </row>
    <row r="53" spans="1:18" ht="18.75" x14ac:dyDescent="0.3">
      <c r="C53" s="7" t="s">
        <v>213</v>
      </c>
      <c r="D53" s="7"/>
      <c r="E53" s="7">
        <f>COUNTIF(E7:E49,"P")</f>
        <v>24</v>
      </c>
    </row>
    <row r="54" spans="1:18" ht="18.75" x14ac:dyDescent="0.3">
      <c r="C54" s="26" t="s">
        <v>214</v>
      </c>
      <c r="D54" s="7"/>
      <c r="E54" s="26">
        <f>SUM(E52:E53)</f>
        <v>43</v>
      </c>
      <c r="F54" s="75" t="s">
        <v>256</v>
      </c>
    </row>
    <row r="56" spans="1:18" ht="18.75" x14ac:dyDescent="0.3">
      <c r="A56" s="6"/>
      <c r="B56" s="9" t="s">
        <v>215</v>
      </c>
      <c r="C56" s="10"/>
      <c r="D56" s="10"/>
      <c r="E56" s="9"/>
      <c r="F56" s="16"/>
      <c r="G56" s="11"/>
      <c r="H56" s="11"/>
      <c r="I56" s="12"/>
      <c r="J56" s="6"/>
      <c r="K56" s="24"/>
      <c r="L56" s="22"/>
      <c r="M56" s="24" t="s">
        <v>920</v>
      </c>
      <c r="N56" s="22"/>
      <c r="O56" s="6"/>
      <c r="P56" s="5"/>
      <c r="Q56" s="5"/>
      <c r="R56" s="5"/>
    </row>
    <row r="57" spans="1:18" ht="18.75" x14ac:dyDescent="0.3">
      <c r="A57" s="6"/>
      <c r="B57" s="9" t="s">
        <v>216</v>
      </c>
      <c r="C57" s="10"/>
      <c r="D57" s="10"/>
      <c r="E57" s="9"/>
      <c r="F57" s="16"/>
      <c r="G57" s="11"/>
      <c r="H57" s="11"/>
      <c r="I57" s="12"/>
      <c r="J57" s="6"/>
      <c r="K57" s="24"/>
      <c r="L57" s="22"/>
      <c r="M57" s="24" t="s">
        <v>219</v>
      </c>
      <c r="N57" s="22"/>
      <c r="O57" s="6"/>
      <c r="P57" s="5"/>
      <c r="Q57" s="5"/>
      <c r="R57" s="5"/>
    </row>
    <row r="58" spans="1:18" ht="18.75" x14ac:dyDescent="0.3">
      <c r="A58" s="6"/>
      <c r="B58" s="9"/>
      <c r="C58" s="10"/>
      <c r="D58" s="10"/>
      <c r="E58" s="9"/>
      <c r="F58" s="16"/>
      <c r="G58" s="11"/>
      <c r="H58" s="11"/>
      <c r="I58" s="12"/>
      <c r="J58" s="6"/>
      <c r="K58" s="24"/>
      <c r="L58" s="22"/>
      <c r="M58" s="24"/>
      <c r="N58" s="22"/>
      <c r="O58" s="6"/>
      <c r="P58" s="5"/>
      <c r="Q58" s="5"/>
      <c r="R58" s="5"/>
    </row>
    <row r="59" spans="1:18" ht="18.75" x14ac:dyDescent="0.3">
      <c r="A59" s="6"/>
      <c r="B59" s="9"/>
      <c r="C59" s="10"/>
      <c r="D59" s="10"/>
      <c r="E59" s="9"/>
      <c r="F59" s="16"/>
      <c r="G59" s="11"/>
      <c r="H59" s="11"/>
      <c r="I59" s="12"/>
      <c r="J59" s="6"/>
      <c r="K59" s="24"/>
      <c r="L59" s="22"/>
      <c r="M59" s="24"/>
      <c r="N59" s="22"/>
      <c r="O59" s="6"/>
      <c r="P59" s="5"/>
      <c r="Q59" s="5"/>
      <c r="R59" s="5"/>
    </row>
    <row r="60" spans="1:18" ht="18.75" x14ac:dyDescent="0.3">
      <c r="A60" s="6"/>
      <c r="B60" s="9"/>
      <c r="C60" s="10"/>
      <c r="D60" s="10"/>
      <c r="E60" s="9"/>
      <c r="F60" s="16"/>
      <c r="G60" s="11"/>
      <c r="H60" s="11"/>
      <c r="I60" s="12"/>
      <c r="J60" s="6"/>
      <c r="K60" s="24"/>
      <c r="L60" s="22"/>
      <c r="M60" s="24"/>
      <c r="N60" s="22"/>
      <c r="O60" s="6"/>
      <c r="P60" s="5"/>
      <c r="Q60" s="5"/>
      <c r="R60" s="5"/>
    </row>
    <row r="61" spans="1:18" ht="18.75" x14ac:dyDescent="0.3">
      <c r="A61" s="6"/>
      <c r="B61" s="13" t="s">
        <v>217</v>
      </c>
      <c r="C61" s="10"/>
      <c r="D61" s="10"/>
      <c r="E61" s="9"/>
      <c r="F61" s="16"/>
      <c r="G61" s="14"/>
      <c r="H61" s="14"/>
      <c r="I61" s="15"/>
      <c r="J61" s="6"/>
      <c r="K61" s="24"/>
      <c r="L61" s="113" t="s">
        <v>922</v>
      </c>
      <c r="M61" s="113"/>
      <c r="N61" s="113"/>
      <c r="O61" s="6"/>
      <c r="P61" s="5"/>
      <c r="Q61" s="5"/>
      <c r="R61" s="5"/>
    </row>
    <row r="62" spans="1:18" ht="18.75" x14ac:dyDescent="0.3">
      <c r="A62" s="6"/>
      <c r="B62" s="9" t="s">
        <v>218</v>
      </c>
      <c r="C62" s="10"/>
      <c r="D62" s="10"/>
      <c r="E62" s="9"/>
      <c r="F62" s="16"/>
      <c r="G62" s="11"/>
      <c r="H62" s="11"/>
      <c r="I62" s="16"/>
      <c r="J62" s="6"/>
      <c r="K62" s="24"/>
      <c r="L62" s="114" t="s">
        <v>921</v>
      </c>
      <c r="M62" s="114"/>
      <c r="N62" s="114"/>
      <c r="O62" s="6"/>
      <c r="P62" s="5"/>
      <c r="Q62" s="5"/>
      <c r="R62" s="5"/>
    </row>
  </sheetData>
  <mergeCells count="20">
    <mergeCell ref="O5:O6"/>
    <mergeCell ref="A1:R1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P5:P6"/>
    <mergeCell ref="Q5:R5"/>
    <mergeCell ref="H5:H6"/>
    <mergeCell ref="I5:I6"/>
    <mergeCell ref="L61:N61"/>
    <mergeCell ref="L62:N62"/>
    <mergeCell ref="J5:J6"/>
    <mergeCell ref="K5:L5"/>
    <mergeCell ref="M5:N5"/>
  </mergeCells>
  <pageMargins left="0.70866141732283472" right="0.70866141732283472" top="0.74803149606299213" bottom="0.74803149606299213" header="0.31496062992125984" footer="0.31496062992125984"/>
  <pageSetup paperSize="14" scale="8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9"/>
  <sheetViews>
    <sheetView view="pageBreakPreview" topLeftCell="A22" zoomScale="42" zoomScaleNormal="50" zoomScaleSheetLayoutView="42" workbookViewId="0">
      <selection activeCell="I7" sqref="I7:I48"/>
    </sheetView>
  </sheetViews>
  <sheetFormatPr defaultColWidth="9.140625" defaultRowHeight="18.75" x14ac:dyDescent="0.3"/>
  <cols>
    <col min="1" max="1" width="7" style="5" bestFit="1" customWidth="1"/>
    <col min="2" max="2" width="43.28515625" style="5" bestFit="1" customWidth="1"/>
    <col min="3" max="3" width="9.85546875" style="10" customWidth="1"/>
    <col min="4" max="4" width="10.28515625" style="10" customWidth="1"/>
    <col min="5" max="5" width="6.7109375" style="1" customWidth="1"/>
    <col min="6" max="6" width="15.7109375" style="10" customWidth="1"/>
    <col min="7" max="7" width="29" style="28" bestFit="1" customWidth="1"/>
    <col min="8" max="8" width="23.28515625" style="28" bestFit="1" customWidth="1"/>
    <col min="9" max="10" width="31" style="5" customWidth="1"/>
    <col min="11" max="11" width="30.140625" style="1" customWidth="1"/>
    <col min="12" max="12" width="20.5703125" style="1" bestFit="1" customWidth="1"/>
    <col min="13" max="13" width="10.42578125" style="1" customWidth="1"/>
    <col min="14" max="14" width="9.85546875" style="1" customWidth="1"/>
    <col min="15" max="15" width="11.85546875" style="1" bestFit="1" customWidth="1"/>
    <col min="16" max="16" width="14.140625" style="1" customWidth="1"/>
    <col min="17" max="17" width="8" style="1" customWidth="1"/>
    <col min="18" max="18" width="7.28515625" style="1" bestFit="1" customWidth="1"/>
    <col min="19" max="16384" width="9.140625" style="5"/>
  </cols>
  <sheetData>
    <row r="1" spans="1:21" ht="21" x14ac:dyDescent="0.35">
      <c r="A1" s="108" t="s">
        <v>1017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21" ht="21" x14ac:dyDescent="0.3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21" ht="21" x14ac:dyDescent="0.35">
      <c r="A3" s="108" t="s">
        <v>666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spans="1:21" x14ac:dyDescent="0.3">
      <c r="D4" s="10" t="s">
        <v>256</v>
      </c>
      <c r="G4" s="28" t="s">
        <v>256</v>
      </c>
      <c r="H4" s="28" t="s">
        <v>256</v>
      </c>
    </row>
    <row r="5" spans="1:21" s="23" customFormat="1" ht="47.25" customHeight="1" x14ac:dyDescent="0.25">
      <c r="A5" s="110" t="s">
        <v>1</v>
      </c>
      <c r="B5" s="110" t="s">
        <v>2</v>
      </c>
      <c r="C5" s="111" t="s">
        <v>836</v>
      </c>
      <c r="D5" s="111" t="s">
        <v>837</v>
      </c>
      <c r="E5" s="110" t="s">
        <v>3</v>
      </c>
      <c r="F5" s="110" t="s">
        <v>4</v>
      </c>
      <c r="G5" s="110" t="s">
        <v>260</v>
      </c>
      <c r="H5" s="110" t="s">
        <v>6</v>
      </c>
      <c r="I5" s="117" t="s">
        <v>7</v>
      </c>
      <c r="J5" s="118" t="s">
        <v>8</v>
      </c>
      <c r="K5" s="110" t="s">
        <v>9</v>
      </c>
      <c r="L5" s="110" t="s">
        <v>10</v>
      </c>
      <c r="M5" s="110" t="s">
        <v>11</v>
      </c>
      <c r="N5" s="110"/>
      <c r="O5" s="110" t="s">
        <v>12</v>
      </c>
      <c r="P5" s="110"/>
      <c r="Q5" s="110" t="s">
        <v>13</v>
      </c>
      <c r="R5" s="110" t="s">
        <v>14</v>
      </c>
      <c r="S5" s="110" t="s">
        <v>15</v>
      </c>
      <c r="T5" s="110"/>
    </row>
    <row r="6" spans="1:21" s="23" customFormat="1" ht="39.75" customHeight="1" x14ac:dyDescent="0.25">
      <c r="A6" s="110"/>
      <c r="B6" s="110"/>
      <c r="C6" s="112"/>
      <c r="D6" s="112"/>
      <c r="E6" s="110"/>
      <c r="F6" s="110"/>
      <c r="G6" s="110"/>
      <c r="H6" s="110"/>
      <c r="I6" s="117"/>
      <c r="J6" s="119"/>
      <c r="K6" s="110"/>
      <c r="L6" s="110"/>
      <c r="M6" s="27" t="s">
        <v>9</v>
      </c>
      <c r="N6" s="27" t="s">
        <v>10</v>
      </c>
      <c r="O6" s="27" t="s">
        <v>9</v>
      </c>
      <c r="P6" s="27" t="s">
        <v>10</v>
      </c>
      <c r="Q6" s="110"/>
      <c r="R6" s="110"/>
      <c r="S6" s="27" t="s">
        <v>16</v>
      </c>
      <c r="T6" s="27" t="s">
        <v>17</v>
      </c>
    </row>
    <row r="7" spans="1:21" s="29" customFormat="1" ht="24.95" customHeight="1" x14ac:dyDescent="0.25">
      <c r="A7" s="27">
        <v>1</v>
      </c>
      <c r="B7" s="33" t="s">
        <v>342</v>
      </c>
      <c r="C7" s="33">
        <v>130</v>
      </c>
      <c r="D7" s="33">
        <v>27</v>
      </c>
      <c r="E7" s="17">
        <v>4540</v>
      </c>
      <c r="F7" s="34" t="s">
        <v>624</v>
      </c>
      <c r="G7" s="17" t="s">
        <v>36</v>
      </c>
      <c r="H7" s="17" t="s">
        <v>21</v>
      </c>
      <c r="I7" s="36">
        <v>42991</v>
      </c>
      <c r="J7" s="35" t="str">
        <f ca="1">DATEDIF(I7,TODAY(),"Y")&amp;" Tahun, "&amp;DATEDIF(I7,TODAY(),"YM")&amp;" Bulan "</f>
        <v xml:space="preserve">9 Tahun, 0 Bulan </v>
      </c>
      <c r="K7" s="33" t="s">
        <v>380</v>
      </c>
      <c r="L7" s="33" t="s">
        <v>381</v>
      </c>
      <c r="M7" s="17" t="s">
        <v>48</v>
      </c>
      <c r="N7" s="17" t="s">
        <v>25</v>
      </c>
      <c r="O7" s="17" t="s">
        <v>26</v>
      </c>
      <c r="P7" s="17" t="s">
        <v>26</v>
      </c>
      <c r="Q7" s="17">
        <v>1</v>
      </c>
      <c r="R7" s="17">
        <v>1</v>
      </c>
      <c r="S7" s="17">
        <v>3</v>
      </c>
      <c r="T7" s="17">
        <v>2</v>
      </c>
      <c r="U7" s="64"/>
    </row>
    <row r="8" spans="1:21" s="29" customFormat="1" ht="24.95" customHeight="1" x14ac:dyDescent="0.25">
      <c r="A8" s="27">
        <v>2</v>
      </c>
      <c r="B8" s="33" t="s">
        <v>661</v>
      </c>
      <c r="C8" s="33">
        <v>132</v>
      </c>
      <c r="D8" s="33">
        <v>35</v>
      </c>
      <c r="E8" s="17">
        <v>4541</v>
      </c>
      <c r="F8" s="34" t="s">
        <v>625</v>
      </c>
      <c r="G8" s="17" t="s">
        <v>20</v>
      </c>
      <c r="H8" s="17" t="s">
        <v>21</v>
      </c>
      <c r="I8" s="36">
        <v>42617</v>
      </c>
      <c r="J8" s="35" t="str">
        <f ca="1">DATEDIF(I8,TODAY(),"Y")&amp;" Tahun, "&amp;DATEDIF(I8,TODAY(),"YM")&amp;" Bulan "</f>
        <v xml:space="preserve">10 Tahun, 0 Bulan </v>
      </c>
      <c r="K8" s="33" t="s">
        <v>382</v>
      </c>
      <c r="L8" s="33" t="s">
        <v>383</v>
      </c>
      <c r="M8" s="17" t="s">
        <v>48</v>
      </c>
      <c r="N8" s="17" t="s">
        <v>25</v>
      </c>
      <c r="O8" s="17" t="s">
        <v>26</v>
      </c>
      <c r="P8" s="17" t="s">
        <v>39</v>
      </c>
      <c r="Q8" s="17">
        <v>3</v>
      </c>
      <c r="R8" s="17">
        <v>3</v>
      </c>
      <c r="S8" s="17">
        <v>1</v>
      </c>
      <c r="T8" s="17">
        <v>8</v>
      </c>
      <c r="U8" s="64"/>
    </row>
    <row r="9" spans="1:21" s="29" customFormat="1" ht="24.95" customHeight="1" x14ac:dyDescent="0.25">
      <c r="A9" s="27">
        <v>3</v>
      </c>
      <c r="B9" s="33" t="s">
        <v>343</v>
      </c>
      <c r="C9" s="33"/>
      <c r="D9" s="33"/>
      <c r="E9" s="17">
        <v>4542</v>
      </c>
      <c r="F9" s="34" t="s">
        <v>626</v>
      </c>
      <c r="G9" s="17" t="s">
        <v>20</v>
      </c>
      <c r="H9" s="17" t="s">
        <v>21</v>
      </c>
      <c r="I9" s="36">
        <v>42899</v>
      </c>
      <c r="J9" s="35" t="str">
        <f t="shared" ref="J9:J48" ca="1" si="0">DATEDIF(I9,TODAY(),"Y")&amp;" Tahun, "&amp;DATEDIF(I9,TODAY(),"YM")&amp;" Bulan "</f>
        <v xml:space="preserve">9 Tahun, 3 Bulan </v>
      </c>
      <c r="K9" s="33" t="s">
        <v>245</v>
      </c>
      <c r="L9" s="33" t="s">
        <v>246</v>
      </c>
      <c r="M9" s="17" t="s">
        <v>48</v>
      </c>
      <c r="N9" s="17" t="s">
        <v>25</v>
      </c>
      <c r="O9" s="17" t="s">
        <v>39</v>
      </c>
      <c r="P9" s="17" t="s">
        <v>26</v>
      </c>
      <c r="Q9" s="17">
        <v>2</v>
      </c>
      <c r="R9" s="17">
        <v>2</v>
      </c>
      <c r="S9" s="17">
        <v>3</v>
      </c>
      <c r="T9" s="17">
        <v>11</v>
      </c>
      <c r="U9" s="64"/>
    </row>
    <row r="10" spans="1:21" s="29" customFormat="1" ht="24.95" customHeight="1" x14ac:dyDescent="0.25">
      <c r="A10" s="27">
        <v>4</v>
      </c>
      <c r="B10" s="33" t="s">
        <v>344</v>
      </c>
      <c r="C10" s="33">
        <v>128</v>
      </c>
      <c r="D10" s="33">
        <v>27</v>
      </c>
      <c r="E10" s="17">
        <v>4543</v>
      </c>
      <c r="F10" s="34">
        <v>3164435349</v>
      </c>
      <c r="G10" s="17" t="s">
        <v>20</v>
      </c>
      <c r="H10" s="17" t="s">
        <v>21</v>
      </c>
      <c r="I10" s="36">
        <v>42510</v>
      </c>
      <c r="J10" s="35" t="str">
        <f t="shared" ca="1" si="0"/>
        <v xml:space="preserve">10 Tahun, 4 Bulan </v>
      </c>
      <c r="K10" s="33" t="s">
        <v>384</v>
      </c>
      <c r="L10" s="33" t="s">
        <v>385</v>
      </c>
      <c r="M10" s="17" t="s">
        <v>224</v>
      </c>
      <c r="N10" s="17" t="s">
        <v>25</v>
      </c>
      <c r="O10" s="17" t="s">
        <v>27</v>
      </c>
      <c r="P10" s="17" t="s">
        <v>39</v>
      </c>
      <c r="Q10" s="17">
        <v>2</v>
      </c>
      <c r="R10" s="17">
        <v>2</v>
      </c>
      <c r="S10" s="17">
        <v>1</v>
      </c>
      <c r="T10" s="17">
        <v>11</v>
      </c>
      <c r="U10" s="64"/>
    </row>
    <row r="11" spans="1:21" s="29" customFormat="1" ht="24.95" customHeight="1" x14ac:dyDescent="0.25">
      <c r="A11" s="27">
        <v>5</v>
      </c>
      <c r="B11" s="33" t="s">
        <v>345</v>
      </c>
      <c r="C11" s="33">
        <v>138</v>
      </c>
      <c r="D11" s="33">
        <v>33</v>
      </c>
      <c r="E11" s="17">
        <v>4544</v>
      </c>
      <c r="F11" s="34" t="s">
        <v>627</v>
      </c>
      <c r="G11" s="17" t="s">
        <v>20</v>
      </c>
      <c r="H11" s="17" t="s">
        <v>21</v>
      </c>
      <c r="I11" s="36">
        <v>42519</v>
      </c>
      <c r="J11" s="35" t="str">
        <f t="shared" ca="1" si="0"/>
        <v xml:space="preserve">10 Tahun, 3 Bulan </v>
      </c>
      <c r="K11" s="33" t="s">
        <v>386</v>
      </c>
      <c r="L11" s="33" t="s">
        <v>387</v>
      </c>
      <c r="M11" s="17" t="s">
        <v>48</v>
      </c>
      <c r="N11" s="17" t="s">
        <v>25</v>
      </c>
      <c r="O11" s="17" t="s">
        <v>39</v>
      </c>
      <c r="P11" s="17" t="s">
        <v>26</v>
      </c>
      <c r="Q11" s="17">
        <v>1</v>
      </c>
      <c r="R11" s="17">
        <v>1</v>
      </c>
      <c r="S11" s="17">
        <v>2</v>
      </c>
      <c r="T11" s="17">
        <v>13</v>
      </c>
      <c r="U11" s="64"/>
    </row>
    <row r="12" spans="1:21" s="29" customFormat="1" ht="24.95" customHeight="1" x14ac:dyDescent="0.25">
      <c r="A12" s="27">
        <v>6</v>
      </c>
      <c r="B12" s="33" t="s">
        <v>346</v>
      </c>
      <c r="C12" s="33">
        <v>123</v>
      </c>
      <c r="D12" s="33">
        <v>24</v>
      </c>
      <c r="E12" s="17">
        <v>4545</v>
      </c>
      <c r="F12" s="34" t="s">
        <v>628</v>
      </c>
      <c r="G12" s="17" t="s">
        <v>20</v>
      </c>
      <c r="H12" s="17" t="s">
        <v>21</v>
      </c>
      <c r="I12" s="36">
        <v>42481</v>
      </c>
      <c r="J12" s="35" t="str">
        <f t="shared" ca="1" si="0"/>
        <v xml:space="preserve">10 Tahun, 5 Bulan </v>
      </c>
      <c r="K12" s="33" t="s">
        <v>388</v>
      </c>
      <c r="L12" s="33" t="s">
        <v>389</v>
      </c>
      <c r="M12" s="17"/>
      <c r="N12" s="17" t="s">
        <v>390</v>
      </c>
      <c r="O12" s="17"/>
      <c r="P12" s="17" t="s">
        <v>39</v>
      </c>
      <c r="Q12" s="17">
        <v>1</v>
      </c>
      <c r="R12" s="17">
        <v>1</v>
      </c>
      <c r="S12" s="17">
        <v>3</v>
      </c>
      <c r="T12" s="17">
        <v>9</v>
      </c>
      <c r="U12" s="64"/>
    </row>
    <row r="13" spans="1:21" s="29" customFormat="1" ht="24.95" customHeight="1" x14ac:dyDescent="0.25">
      <c r="A13" s="27">
        <v>7</v>
      </c>
      <c r="B13" s="33" t="s">
        <v>347</v>
      </c>
      <c r="C13" s="33">
        <v>134</v>
      </c>
      <c r="D13" s="33">
        <v>30</v>
      </c>
      <c r="E13" s="17">
        <v>4547</v>
      </c>
      <c r="F13" s="34" t="s">
        <v>629</v>
      </c>
      <c r="G13" s="17" t="s">
        <v>20</v>
      </c>
      <c r="H13" s="17" t="s">
        <v>21</v>
      </c>
      <c r="I13" s="36">
        <v>41611</v>
      </c>
      <c r="J13" s="35" t="str">
        <f t="shared" ca="1" si="0"/>
        <v xml:space="preserve">12 Tahun, 9 Bulan </v>
      </c>
      <c r="K13" s="33" t="s">
        <v>391</v>
      </c>
      <c r="L13" s="33" t="s">
        <v>197</v>
      </c>
      <c r="M13" s="17" t="s">
        <v>224</v>
      </c>
      <c r="N13" s="17" t="s">
        <v>25</v>
      </c>
      <c r="O13" s="17" t="s">
        <v>39</v>
      </c>
      <c r="P13" s="17" t="s">
        <v>27</v>
      </c>
      <c r="Q13" s="17">
        <v>5</v>
      </c>
      <c r="R13" s="17">
        <v>6</v>
      </c>
      <c r="S13" s="17">
        <v>2</v>
      </c>
      <c r="T13" s="17">
        <v>10</v>
      </c>
      <c r="U13" s="64"/>
    </row>
    <row r="14" spans="1:21" s="29" customFormat="1" ht="24.95" customHeight="1" x14ac:dyDescent="0.25">
      <c r="A14" s="27">
        <v>8</v>
      </c>
      <c r="B14" s="33" t="s">
        <v>348</v>
      </c>
      <c r="C14" s="33"/>
      <c r="D14" s="33"/>
      <c r="E14" s="17">
        <v>4548</v>
      </c>
      <c r="F14" s="34" t="s">
        <v>630</v>
      </c>
      <c r="G14" s="17" t="s">
        <v>36</v>
      </c>
      <c r="H14" s="17" t="s">
        <v>21</v>
      </c>
      <c r="I14" s="36">
        <v>42738</v>
      </c>
      <c r="J14" s="35" t="str">
        <f t="shared" ca="1" si="0"/>
        <v xml:space="preserve">9 Tahun, 8 Bulan </v>
      </c>
      <c r="K14" s="33" t="s">
        <v>392</v>
      </c>
      <c r="L14" s="33" t="s">
        <v>393</v>
      </c>
      <c r="M14" s="17" t="s">
        <v>33</v>
      </c>
      <c r="N14" s="17" t="s">
        <v>25</v>
      </c>
      <c r="O14" s="17" t="s">
        <v>27</v>
      </c>
      <c r="P14" s="17" t="s">
        <v>27</v>
      </c>
      <c r="Q14" s="17">
        <v>2</v>
      </c>
      <c r="R14" s="17">
        <v>3</v>
      </c>
      <c r="S14" s="17">
        <v>2</v>
      </c>
      <c r="T14" s="17">
        <v>11</v>
      </c>
      <c r="U14" s="64"/>
    </row>
    <row r="15" spans="1:21" s="29" customFormat="1" ht="24.95" customHeight="1" x14ac:dyDescent="0.25">
      <c r="A15" s="27">
        <v>9</v>
      </c>
      <c r="B15" s="33" t="s">
        <v>349</v>
      </c>
      <c r="C15" s="33">
        <v>134</v>
      </c>
      <c r="D15" s="33">
        <v>32</v>
      </c>
      <c r="E15" s="17">
        <v>4549</v>
      </c>
      <c r="F15" s="34">
        <v>3168674205</v>
      </c>
      <c r="G15" s="17" t="s">
        <v>36</v>
      </c>
      <c r="H15" s="17" t="s">
        <v>21</v>
      </c>
      <c r="I15" s="36">
        <v>42582</v>
      </c>
      <c r="J15" s="35" t="str">
        <f t="shared" ca="1" si="0"/>
        <v xml:space="preserve">10 Tahun, 1 Bulan </v>
      </c>
      <c r="K15" s="33" t="s">
        <v>394</v>
      </c>
      <c r="L15" s="33" t="s">
        <v>395</v>
      </c>
      <c r="M15" s="17" t="s">
        <v>390</v>
      </c>
      <c r="N15" s="17" t="s">
        <v>25</v>
      </c>
      <c r="O15" s="17" t="s">
        <v>39</v>
      </c>
      <c r="P15" s="17" t="s">
        <v>39</v>
      </c>
      <c r="Q15" s="17">
        <v>2</v>
      </c>
      <c r="R15" s="17">
        <v>2</v>
      </c>
      <c r="S15" s="17">
        <v>1</v>
      </c>
      <c r="T15" s="17">
        <v>10</v>
      </c>
      <c r="U15" s="64"/>
    </row>
    <row r="16" spans="1:21" s="29" customFormat="1" ht="24.95" customHeight="1" x14ac:dyDescent="0.25">
      <c r="A16" s="27">
        <v>10</v>
      </c>
      <c r="B16" s="33" t="s">
        <v>350</v>
      </c>
      <c r="C16" s="33"/>
      <c r="D16" s="33"/>
      <c r="E16" s="17">
        <v>4550</v>
      </c>
      <c r="F16" s="34" t="s">
        <v>631</v>
      </c>
      <c r="G16" s="17" t="s">
        <v>36</v>
      </c>
      <c r="H16" s="17" t="s">
        <v>21</v>
      </c>
      <c r="I16" s="36">
        <v>42842</v>
      </c>
      <c r="J16" s="35" t="str">
        <f t="shared" ca="1" si="0"/>
        <v xml:space="preserve">9 Tahun, 5 Bulan </v>
      </c>
      <c r="K16" s="33" t="s">
        <v>396</v>
      </c>
      <c r="L16" s="33" t="s">
        <v>397</v>
      </c>
      <c r="M16" s="17" t="s">
        <v>48</v>
      </c>
      <c r="N16" s="17" t="s">
        <v>48</v>
      </c>
      <c r="O16" s="17" t="s">
        <v>27</v>
      </c>
      <c r="P16" s="17" t="s">
        <v>27</v>
      </c>
      <c r="Q16" s="17">
        <v>1</v>
      </c>
      <c r="R16" s="17">
        <v>1</v>
      </c>
      <c r="S16" s="17">
        <v>2</v>
      </c>
      <c r="T16" s="17">
        <v>10</v>
      </c>
      <c r="U16" s="64"/>
    </row>
    <row r="17" spans="1:21" s="29" customFormat="1" ht="24.95" customHeight="1" x14ac:dyDescent="0.25">
      <c r="A17" s="27">
        <v>11</v>
      </c>
      <c r="B17" s="33" t="s">
        <v>351</v>
      </c>
      <c r="C17" s="33">
        <v>122</v>
      </c>
      <c r="D17" s="33">
        <v>22</v>
      </c>
      <c r="E17" s="17">
        <v>4551</v>
      </c>
      <c r="F17" s="34" t="s">
        <v>632</v>
      </c>
      <c r="G17" s="17" t="s">
        <v>20</v>
      </c>
      <c r="H17" s="17" t="s">
        <v>21</v>
      </c>
      <c r="I17" s="36">
        <v>42699</v>
      </c>
      <c r="J17" s="35" t="str">
        <f ca="1">DATEDIF(I17,TODAY(),"Y")&amp;" Tahun, "&amp;DATEDIF(I17,TODAY(),"YM")&amp;" Bulan "</f>
        <v xml:space="preserve">9 Tahun, 9 Bulan </v>
      </c>
      <c r="K17" s="33" t="s">
        <v>398</v>
      </c>
      <c r="L17" s="33" t="s">
        <v>399</v>
      </c>
      <c r="M17" s="17" t="s">
        <v>33</v>
      </c>
      <c r="N17" s="17" t="s">
        <v>25</v>
      </c>
      <c r="O17" s="17" t="s">
        <v>27</v>
      </c>
      <c r="P17" s="17" t="s">
        <v>27</v>
      </c>
      <c r="Q17" s="17">
        <v>1</v>
      </c>
      <c r="R17" s="17">
        <v>1</v>
      </c>
      <c r="S17" s="17">
        <v>3</v>
      </c>
      <c r="T17" s="17">
        <v>1</v>
      </c>
      <c r="U17" s="64"/>
    </row>
    <row r="18" spans="1:21" s="29" customFormat="1" ht="24.95" customHeight="1" x14ac:dyDescent="0.25">
      <c r="A18" s="27">
        <v>12</v>
      </c>
      <c r="B18" s="33" t="s">
        <v>352</v>
      </c>
      <c r="C18" s="33">
        <v>130</v>
      </c>
      <c r="D18" s="33">
        <v>29</v>
      </c>
      <c r="E18" s="17">
        <v>4552</v>
      </c>
      <c r="F18" s="34" t="s">
        <v>633</v>
      </c>
      <c r="G18" s="17" t="s">
        <v>20</v>
      </c>
      <c r="H18" s="17" t="s">
        <v>21</v>
      </c>
      <c r="I18" s="36">
        <v>42463</v>
      </c>
      <c r="J18" s="35" t="str">
        <f t="shared" ca="1" si="0"/>
        <v xml:space="preserve">10 Tahun, 5 Bulan </v>
      </c>
      <c r="K18" s="33" t="s">
        <v>400</v>
      </c>
      <c r="L18" s="33" t="s">
        <v>401</v>
      </c>
      <c r="M18" s="17" t="s">
        <v>33</v>
      </c>
      <c r="N18" s="17" t="s">
        <v>25</v>
      </c>
      <c r="O18" s="17" t="s">
        <v>27</v>
      </c>
      <c r="P18" s="17" t="s">
        <v>27</v>
      </c>
      <c r="Q18" s="17">
        <v>3</v>
      </c>
      <c r="R18" s="17">
        <v>3</v>
      </c>
      <c r="S18" s="17">
        <v>2</v>
      </c>
      <c r="T18" s="17">
        <v>10</v>
      </c>
      <c r="U18" s="64"/>
    </row>
    <row r="19" spans="1:21" s="29" customFormat="1" ht="24.95" customHeight="1" x14ac:dyDescent="0.25">
      <c r="A19" s="27">
        <v>13</v>
      </c>
      <c r="B19" s="33" t="s">
        <v>353</v>
      </c>
      <c r="C19" s="33">
        <v>125</v>
      </c>
      <c r="D19" s="33">
        <v>25</v>
      </c>
      <c r="E19" s="17">
        <v>4554</v>
      </c>
      <c r="F19" s="34">
        <v>3162539609</v>
      </c>
      <c r="G19" s="17" t="s">
        <v>36</v>
      </c>
      <c r="H19" s="17" t="s">
        <v>21</v>
      </c>
      <c r="I19" s="36">
        <v>42510</v>
      </c>
      <c r="J19" s="35" t="str">
        <f t="shared" ca="1" si="0"/>
        <v xml:space="preserve">10 Tahun, 4 Bulan </v>
      </c>
      <c r="K19" s="33" t="s">
        <v>402</v>
      </c>
      <c r="L19" s="33" t="s">
        <v>403</v>
      </c>
      <c r="M19" s="17" t="s">
        <v>33</v>
      </c>
      <c r="N19" s="17" t="s">
        <v>25</v>
      </c>
      <c r="O19" s="17" t="s">
        <v>27</v>
      </c>
      <c r="P19" s="17" t="s">
        <v>27</v>
      </c>
      <c r="Q19" s="17">
        <v>5</v>
      </c>
      <c r="R19" s="17">
        <v>5</v>
      </c>
      <c r="S19" s="17">
        <v>3</v>
      </c>
      <c r="T19" s="17">
        <v>11</v>
      </c>
      <c r="U19" s="64"/>
    </row>
    <row r="20" spans="1:21" s="29" customFormat="1" ht="24.95" customHeight="1" x14ac:dyDescent="0.25">
      <c r="A20" s="27">
        <v>14</v>
      </c>
      <c r="B20" s="33" t="s">
        <v>354</v>
      </c>
      <c r="C20" s="33">
        <v>120</v>
      </c>
      <c r="D20" s="33">
        <v>22</v>
      </c>
      <c r="E20" s="17">
        <v>4555</v>
      </c>
      <c r="F20" s="34" t="s">
        <v>634</v>
      </c>
      <c r="G20" s="17" t="s">
        <v>20</v>
      </c>
      <c r="H20" s="17" t="s">
        <v>21</v>
      </c>
      <c r="I20" s="36">
        <v>42841</v>
      </c>
      <c r="J20" s="35" t="str">
        <f t="shared" ca="1" si="0"/>
        <v xml:space="preserve">9 Tahun, 5 Bulan </v>
      </c>
      <c r="K20" s="33" t="s">
        <v>404</v>
      </c>
      <c r="L20" s="33" t="s">
        <v>405</v>
      </c>
      <c r="M20" s="17" t="s">
        <v>33</v>
      </c>
      <c r="N20" s="17" t="s">
        <v>25</v>
      </c>
      <c r="O20" s="17" t="s">
        <v>27</v>
      </c>
      <c r="P20" s="17" t="s">
        <v>39</v>
      </c>
      <c r="Q20" s="17">
        <v>1</v>
      </c>
      <c r="R20" s="17">
        <v>2</v>
      </c>
      <c r="S20" s="17">
        <v>3</v>
      </c>
      <c r="T20" s="17">
        <v>10</v>
      </c>
      <c r="U20" s="64"/>
    </row>
    <row r="21" spans="1:21" s="29" customFormat="1" ht="24.95" customHeight="1" x14ac:dyDescent="0.25">
      <c r="A21" s="27">
        <v>15</v>
      </c>
      <c r="B21" s="33" t="s">
        <v>355</v>
      </c>
      <c r="C21" s="33"/>
      <c r="D21" s="33"/>
      <c r="E21" s="17">
        <v>4556</v>
      </c>
      <c r="F21" s="34" t="s">
        <v>635</v>
      </c>
      <c r="G21" s="17" t="s">
        <v>20</v>
      </c>
      <c r="H21" s="17" t="s">
        <v>107</v>
      </c>
      <c r="I21" s="36">
        <v>42830</v>
      </c>
      <c r="J21" s="35" t="str">
        <f t="shared" ca="1" si="0"/>
        <v xml:space="preserve">9 Tahun, 5 Bulan </v>
      </c>
      <c r="K21" s="33" t="s">
        <v>406</v>
      </c>
      <c r="L21" s="33" t="s">
        <v>407</v>
      </c>
      <c r="M21" s="17" t="s">
        <v>48</v>
      </c>
      <c r="N21" s="17" t="s">
        <v>48</v>
      </c>
      <c r="O21" s="17" t="s">
        <v>27</v>
      </c>
      <c r="P21" s="17"/>
      <c r="Q21" s="17">
        <v>1</v>
      </c>
      <c r="R21" s="17">
        <v>2</v>
      </c>
      <c r="S21" s="17">
        <v>1</v>
      </c>
      <c r="T21" s="17">
        <v>1</v>
      </c>
      <c r="U21" s="64"/>
    </row>
    <row r="22" spans="1:21" s="29" customFormat="1" ht="24.95" customHeight="1" x14ac:dyDescent="0.25">
      <c r="A22" s="27">
        <v>16</v>
      </c>
      <c r="B22" s="33" t="s">
        <v>455</v>
      </c>
      <c r="C22" s="33">
        <v>125</v>
      </c>
      <c r="D22" s="33">
        <v>20</v>
      </c>
      <c r="E22" s="17">
        <v>4557</v>
      </c>
      <c r="F22" s="34" t="s">
        <v>636</v>
      </c>
      <c r="G22" s="17" t="s">
        <v>20</v>
      </c>
      <c r="H22" s="17" t="s">
        <v>21</v>
      </c>
      <c r="I22" s="36">
        <v>42883</v>
      </c>
      <c r="J22" s="35" t="str">
        <f t="shared" ca="1" si="0"/>
        <v xml:space="preserve">9 Tahun, 3 Bulan </v>
      </c>
      <c r="K22" s="33" t="s">
        <v>408</v>
      </c>
      <c r="L22" s="33" t="s">
        <v>409</v>
      </c>
      <c r="M22" s="17" t="s">
        <v>410</v>
      </c>
      <c r="N22" s="17" t="s">
        <v>25</v>
      </c>
      <c r="O22" s="17" t="s">
        <v>26</v>
      </c>
      <c r="P22" s="17" t="s">
        <v>64</v>
      </c>
      <c r="Q22" s="17">
        <v>3</v>
      </c>
      <c r="R22" s="17">
        <v>3</v>
      </c>
      <c r="S22" s="17">
        <v>1</v>
      </c>
      <c r="T22" s="17">
        <v>9</v>
      </c>
      <c r="U22" s="64"/>
    </row>
    <row r="23" spans="1:21" s="29" customFormat="1" ht="24.95" customHeight="1" x14ac:dyDescent="0.25">
      <c r="A23" s="27">
        <v>17</v>
      </c>
      <c r="B23" s="33" t="s">
        <v>356</v>
      </c>
      <c r="C23" s="33">
        <v>133</v>
      </c>
      <c r="D23" s="33">
        <v>20</v>
      </c>
      <c r="E23" s="17">
        <v>4558</v>
      </c>
      <c r="F23" s="34" t="s">
        <v>637</v>
      </c>
      <c r="G23" s="17" t="s">
        <v>36</v>
      </c>
      <c r="H23" s="17" t="s">
        <v>21</v>
      </c>
      <c r="I23" s="36">
        <v>42736</v>
      </c>
      <c r="J23" s="35" t="str">
        <f t="shared" ca="1" si="0"/>
        <v xml:space="preserve">9 Tahun, 8 Bulan </v>
      </c>
      <c r="K23" s="33" t="s">
        <v>411</v>
      </c>
      <c r="L23" s="33" t="s">
        <v>412</v>
      </c>
      <c r="M23" s="17" t="s">
        <v>33</v>
      </c>
      <c r="N23" s="17" t="s">
        <v>25</v>
      </c>
      <c r="O23" s="17" t="s">
        <v>27</v>
      </c>
      <c r="P23" s="17" t="s">
        <v>27</v>
      </c>
      <c r="Q23" s="17">
        <v>4</v>
      </c>
      <c r="R23" s="17">
        <v>4</v>
      </c>
      <c r="S23" s="17">
        <v>2</v>
      </c>
      <c r="T23" s="17">
        <v>10</v>
      </c>
      <c r="U23" s="64"/>
    </row>
    <row r="24" spans="1:21" s="29" customFormat="1" ht="24.95" customHeight="1" x14ac:dyDescent="0.25">
      <c r="A24" s="27">
        <v>18</v>
      </c>
      <c r="B24" s="33" t="s">
        <v>357</v>
      </c>
      <c r="C24" s="33">
        <v>125</v>
      </c>
      <c r="D24" s="33">
        <v>28</v>
      </c>
      <c r="E24" s="17">
        <v>4559</v>
      </c>
      <c r="F24" s="34" t="s">
        <v>638</v>
      </c>
      <c r="G24" s="17" t="s">
        <v>36</v>
      </c>
      <c r="H24" s="17" t="s">
        <v>21</v>
      </c>
      <c r="I24" s="36">
        <v>42752</v>
      </c>
      <c r="J24" s="35" t="str">
        <f t="shared" ca="1" si="0"/>
        <v xml:space="preserve">9 Tahun, 8 Bulan </v>
      </c>
      <c r="K24" s="33" t="s">
        <v>413</v>
      </c>
      <c r="L24" s="33" t="s">
        <v>414</v>
      </c>
      <c r="M24" s="17" t="s">
        <v>410</v>
      </c>
      <c r="N24" s="17" t="s">
        <v>25</v>
      </c>
      <c r="O24" s="17" t="s">
        <v>26</v>
      </c>
      <c r="P24" s="17" t="s">
        <v>26</v>
      </c>
      <c r="Q24" s="17">
        <v>3</v>
      </c>
      <c r="R24" s="17">
        <v>3</v>
      </c>
      <c r="S24" s="17">
        <v>3</v>
      </c>
      <c r="T24" s="17">
        <v>9</v>
      </c>
      <c r="U24" s="64"/>
    </row>
    <row r="25" spans="1:21" s="29" customFormat="1" ht="24.95" customHeight="1" x14ac:dyDescent="0.25">
      <c r="A25" s="27">
        <v>19</v>
      </c>
      <c r="B25" s="33" t="s">
        <v>358</v>
      </c>
      <c r="C25" s="33">
        <v>124</v>
      </c>
      <c r="D25" s="33">
        <v>29</v>
      </c>
      <c r="E25" s="17">
        <v>4560</v>
      </c>
      <c r="F25" s="34" t="s">
        <v>639</v>
      </c>
      <c r="G25" s="17" t="s">
        <v>36</v>
      </c>
      <c r="H25" s="17" t="s">
        <v>21</v>
      </c>
      <c r="I25" s="36">
        <v>42524</v>
      </c>
      <c r="J25" s="35" t="str">
        <f t="shared" ca="1" si="0"/>
        <v xml:space="preserve">10 Tahun, 3 Bulan </v>
      </c>
      <c r="K25" s="33" t="s">
        <v>391</v>
      </c>
      <c r="L25" s="33" t="s">
        <v>197</v>
      </c>
      <c r="M25" s="17" t="s">
        <v>224</v>
      </c>
      <c r="N25" s="17" t="s">
        <v>25</v>
      </c>
      <c r="O25" s="17" t="s">
        <v>39</v>
      </c>
      <c r="P25" s="17" t="s">
        <v>27</v>
      </c>
      <c r="Q25" s="17">
        <v>6</v>
      </c>
      <c r="R25" s="17">
        <v>6</v>
      </c>
      <c r="S25" s="17">
        <v>2</v>
      </c>
      <c r="T25" s="17">
        <v>10</v>
      </c>
      <c r="U25" s="64"/>
    </row>
    <row r="26" spans="1:21" s="29" customFormat="1" ht="24.95" customHeight="1" x14ac:dyDescent="0.25">
      <c r="A26" s="27">
        <v>20</v>
      </c>
      <c r="B26" s="33" t="s">
        <v>359</v>
      </c>
      <c r="C26" s="33"/>
      <c r="D26" s="33"/>
      <c r="E26" s="17">
        <v>4561</v>
      </c>
      <c r="F26" s="34">
        <v>3161721868</v>
      </c>
      <c r="G26" s="17" t="s">
        <v>20</v>
      </c>
      <c r="H26" s="17" t="s">
        <v>21</v>
      </c>
      <c r="I26" s="36">
        <v>42650</v>
      </c>
      <c r="J26" s="35" t="str">
        <f t="shared" ca="1" si="0"/>
        <v xml:space="preserve">9 Tahun, 11 Bulan </v>
      </c>
      <c r="K26" s="33" t="s">
        <v>415</v>
      </c>
      <c r="L26" s="33" t="s">
        <v>416</v>
      </c>
      <c r="M26" s="17" t="s">
        <v>48</v>
      </c>
      <c r="N26" s="17" t="s">
        <v>25</v>
      </c>
      <c r="O26" s="17" t="s">
        <v>39</v>
      </c>
      <c r="P26" s="17"/>
      <c r="Q26" s="17">
        <v>5</v>
      </c>
      <c r="R26" s="17">
        <v>5</v>
      </c>
      <c r="S26" s="17">
        <v>2</v>
      </c>
      <c r="T26" s="17">
        <v>10</v>
      </c>
      <c r="U26" s="64"/>
    </row>
    <row r="27" spans="1:21" s="29" customFormat="1" ht="24.95" customHeight="1" x14ac:dyDescent="0.25">
      <c r="A27" s="27">
        <v>21</v>
      </c>
      <c r="B27" s="33" t="s">
        <v>360</v>
      </c>
      <c r="C27" s="33">
        <v>124</v>
      </c>
      <c r="D27" s="33">
        <v>20</v>
      </c>
      <c r="E27" s="17">
        <v>4562</v>
      </c>
      <c r="F27" s="34" t="s">
        <v>640</v>
      </c>
      <c r="G27" s="17" t="s">
        <v>20</v>
      </c>
      <c r="H27" s="17" t="s">
        <v>21</v>
      </c>
      <c r="I27" s="36">
        <v>42926</v>
      </c>
      <c r="J27" s="35" t="str">
        <f t="shared" ca="1" si="0"/>
        <v xml:space="preserve">9 Tahun, 2 Bulan </v>
      </c>
      <c r="K27" s="33" t="s">
        <v>417</v>
      </c>
      <c r="L27" s="33" t="s">
        <v>418</v>
      </c>
      <c r="M27" s="17" t="s">
        <v>390</v>
      </c>
      <c r="N27" s="17" t="s">
        <v>25</v>
      </c>
      <c r="O27" s="17" t="s">
        <v>419</v>
      </c>
      <c r="P27" s="17" t="s">
        <v>39</v>
      </c>
      <c r="Q27" s="17">
        <v>3</v>
      </c>
      <c r="R27" s="17">
        <v>3</v>
      </c>
      <c r="S27" s="17">
        <v>2</v>
      </c>
      <c r="T27" s="17">
        <v>10</v>
      </c>
      <c r="U27" s="64"/>
    </row>
    <row r="28" spans="1:21" s="29" customFormat="1" ht="24.95" customHeight="1" x14ac:dyDescent="0.25">
      <c r="A28" s="27">
        <v>22</v>
      </c>
      <c r="B28" s="33" t="s">
        <v>361</v>
      </c>
      <c r="C28" s="33">
        <v>123</v>
      </c>
      <c r="D28" s="33">
        <v>23</v>
      </c>
      <c r="E28" s="17">
        <v>4563</v>
      </c>
      <c r="F28" s="34" t="s">
        <v>641</v>
      </c>
      <c r="G28" s="17" t="s">
        <v>20</v>
      </c>
      <c r="H28" s="17" t="s">
        <v>21</v>
      </c>
      <c r="I28" s="36">
        <v>42994</v>
      </c>
      <c r="J28" s="35" t="str">
        <f t="shared" ca="1" si="0"/>
        <v xml:space="preserve">9 Tahun, 0 Bulan </v>
      </c>
      <c r="K28" s="33" t="s">
        <v>420</v>
      </c>
      <c r="L28" s="33" t="s">
        <v>421</v>
      </c>
      <c r="M28" s="17" t="s">
        <v>390</v>
      </c>
      <c r="N28" s="17" t="s">
        <v>33</v>
      </c>
      <c r="O28" s="17" t="s">
        <v>39</v>
      </c>
      <c r="P28" s="17" t="s">
        <v>39</v>
      </c>
      <c r="Q28" s="17">
        <v>2</v>
      </c>
      <c r="R28" s="17">
        <v>2</v>
      </c>
      <c r="S28" s="17">
        <v>2</v>
      </c>
      <c r="T28" s="17">
        <v>10</v>
      </c>
      <c r="U28" s="64"/>
    </row>
    <row r="29" spans="1:21" s="29" customFormat="1" ht="24.95" customHeight="1" x14ac:dyDescent="0.3">
      <c r="A29" s="27">
        <v>23</v>
      </c>
      <c r="B29" s="33" t="s">
        <v>362</v>
      </c>
      <c r="C29" s="33">
        <v>124</v>
      </c>
      <c r="D29" s="33">
        <v>22</v>
      </c>
      <c r="E29" s="17">
        <v>4564</v>
      </c>
      <c r="F29" s="34" t="s">
        <v>642</v>
      </c>
      <c r="G29" s="17" t="s">
        <v>20</v>
      </c>
      <c r="H29" s="17" t="s">
        <v>21</v>
      </c>
      <c r="I29" s="36">
        <v>42877</v>
      </c>
      <c r="J29" s="35" t="str">
        <f t="shared" ca="1" si="0"/>
        <v xml:space="preserve">9 Tahun, 4 Bulan </v>
      </c>
      <c r="K29" s="33" t="s">
        <v>1020</v>
      </c>
      <c r="L29" s="83" t="s">
        <v>1021</v>
      </c>
      <c r="M29" s="17" t="s">
        <v>48</v>
      </c>
      <c r="N29" s="17" t="s">
        <v>25</v>
      </c>
      <c r="O29" s="17" t="s">
        <v>27</v>
      </c>
      <c r="P29" s="17" t="s">
        <v>27</v>
      </c>
      <c r="Q29" s="17">
        <v>1</v>
      </c>
      <c r="R29" s="17">
        <v>1</v>
      </c>
      <c r="S29" s="17">
        <v>2</v>
      </c>
      <c r="T29" s="17">
        <v>11</v>
      </c>
      <c r="U29" s="64"/>
    </row>
    <row r="30" spans="1:21" s="29" customFormat="1" ht="24.95" customHeight="1" x14ac:dyDescent="0.25">
      <c r="A30" s="27">
        <v>24</v>
      </c>
      <c r="B30" s="33" t="s">
        <v>363</v>
      </c>
      <c r="C30" s="33"/>
      <c r="D30" s="33"/>
      <c r="E30" s="17">
        <v>4565</v>
      </c>
      <c r="F30" s="34">
        <v>3162042279</v>
      </c>
      <c r="G30" s="17" t="s">
        <v>20</v>
      </c>
      <c r="H30" s="17" t="s">
        <v>21</v>
      </c>
      <c r="I30" s="36">
        <v>42611</v>
      </c>
      <c r="J30" s="35" t="str">
        <f t="shared" ca="1" si="0"/>
        <v xml:space="preserve">10 Tahun, 0 Bulan </v>
      </c>
      <c r="K30" s="33" t="s">
        <v>422</v>
      </c>
      <c r="L30" s="33" t="s">
        <v>423</v>
      </c>
      <c r="M30" s="17" t="s">
        <v>48</v>
      </c>
      <c r="N30" s="17" t="s">
        <v>25</v>
      </c>
      <c r="O30" s="17" t="s">
        <v>27</v>
      </c>
      <c r="P30" s="17" t="s">
        <v>27</v>
      </c>
      <c r="Q30" s="17">
        <v>1</v>
      </c>
      <c r="R30" s="17">
        <v>1</v>
      </c>
      <c r="S30" s="17">
        <v>2</v>
      </c>
      <c r="T30" s="17">
        <v>11</v>
      </c>
      <c r="U30" s="64"/>
    </row>
    <row r="31" spans="1:21" s="29" customFormat="1" ht="24.95" customHeight="1" x14ac:dyDescent="0.25">
      <c r="A31" s="27">
        <v>25</v>
      </c>
      <c r="B31" s="33" t="s">
        <v>364</v>
      </c>
      <c r="C31" s="33">
        <v>125</v>
      </c>
      <c r="D31" s="33">
        <v>30</v>
      </c>
      <c r="E31" s="17">
        <v>4566</v>
      </c>
      <c r="F31" s="34" t="s">
        <v>643</v>
      </c>
      <c r="G31" s="17" t="s">
        <v>20</v>
      </c>
      <c r="H31" s="17" t="s">
        <v>21</v>
      </c>
      <c r="I31" s="36">
        <v>42668</v>
      </c>
      <c r="J31" s="35" t="str">
        <f t="shared" ca="1" si="0"/>
        <v xml:space="preserve">9 Tahun, 10 Bulan </v>
      </c>
      <c r="K31" s="33" t="s">
        <v>424</v>
      </c>
      <c r="L31" s="33" t="s">
        <v>425</v>
      </c>
      <c r="M31" s="17" t="s">
        <v>33</v>
      </c>
      <c r="N31" s="17" t="s">
        <v>390</v>
      </c>
      <c r="O31" s="17" t="s">
        <v>26</v>
      </c>
      <c r="P31" s="17" t="s">
        <v>26</v>
      </c>
      <c r="Q31" s="17">
        <v>2</v>
      </c>
      <c r="R31" s="17">
        <v>2</v>
      </c>
      <c r="S31" s="17">
        <v>1</v>
      </c>
      <c r="T31" s="17">
        <v>11</v>
      </c>
      <c r="U31" s="64"/>
    </row>
    <row r="32" spans="1:21" s="29" customFormat="1" ht="24.95" customHeight="1" x14ac:dyDescent="0.25">
      <c r="A32" s="27">
        <v>26</v>
      </c>
      <c r="B32" s="33" t="s">
        <v>662</v>
      </c>
      <c r="C32" s="33">
        <v>120</v>
      </c>
      <c r="D32" s="33">
        <v>23</v>
      </c>
      <c r="E32" s="17">
        <v>4567</v>
      </c>
      <c r="F32" s="34" t="s">
        <v>644</v>
      </c>
      <c r="G32" s="17" t="s">
        <v>20</v>
      </c>
      <c r="H32" s="17" t="s">
        <v>21</v>
      </c>
      <c r="I32" s="36">
        <v>42865</v>
      </c>
      <c r="J32" s="35" t="str">
        <f t="shared" ca="1" si="0"/>
        <v xml:space="preserve">9 Tahun, 4 Bulan </v>
      </c>
      <c r="K32" s="33" t="s">
        <v>426</v>
      </c>
      <c r="L32" s="33" t="s">
        <v>427</v>
      </c>
      <c r="M32" s="17" t="s">
        <v>48</v>
      </c>
      <c r="N32" s="17" t="s">
        <v>48</v>
      </c>
      <c r="O32" s="17" t="s">
        <v>27</v>
      </c>
      <c r="P32" s="17" t="s">
        <v>27</v>
      </c>
      <c r="Q32" s="17">
        <v>3</v>
      </c>
      <c r="R32" s="17">
        <v>5</v>
      </c>
      <c r="S32" s="17">
        <v>1</v>
      </c>
      <c r="T32" s="17">
        <v>11</v>
      </c>
      <c r="U32" s="64"/>
    </row>
    <row r="33" spans="1:21" s="29" customFormat="1" ht="24.95" customHeight="1" x14ac:dyDescent="0.3">
      <c r="A33" s="27">
        <v>27</v>
      </c>
      <c r="B33" s="38" t="s">
        <v>365</v>
      </c>
      <c r="C33" s="38">
        <v>133</v>
      </c>
      <c r="D33" s="38">
        <v>31</v>
      </c>
      <c r="E33" s="17">
        <v>4569</v>
      </c>
      <c r="F33" s="34" t="s">
        <v>645</v>
      </c>
      <c r="G33" s="17" t="s">
        <v>20</v>
      </c>
      <c r="H33" s="17" t="s">
        <v>21</v>
      </c>
      <c r="I33" s="36">
        <v>42463</v>
      </c>
      <c r="J33" s="35" t="str">
        <f t="shared" ca="1" si="0"/>
        <v xml:space="preserve">10 Tahun, 5 Bulan </v>
      </c>
      <c r="K33" s="33" t="s">
        <v>428</v>
      </c>
      <c r="L33" s="33" t="s">
        <v>429</v>
      </c>
      <c r="M33" s="17" t="s">
        <v>48</v>
      </c>
      <c r="N33" s="17" t="s">
        <v>430</v>
      </c>
      <c r="O33" s="17" t="s">
        <v>39</v>
      </c>
      <c r="P33" s="17" t="s">
        <v>39</v>
      </c>
      <c r="Q33" s="17">
        <v>1</v>
      </c>
      <c r="R33" s="17">
        <v>1</v>
      </c>
      <c r="S33" s="17">
        <v>1</v>
      </c>
      <c r="T33" s="17">
        <v>11</v>
      </c>
      <c r="U33" s="64"/>
    </row>
    <row r="34" spans="1:21" s="29" customFormat="1" ht="24.95" customHeight="1" x14ac:dyDescent="0.3">
      <c r="A34" s="27">
        <v>28</v>
      </c>
      <c r="B34" s="38" t="s">
        <v>366</v>
      </c>
      <c r="C34" s="38">
        <v>128</v>
      </c>
      <c r="D34" s="38">
        <v>25</v>
      </c>
      <c r="E34" s="17">
        <v>4571</v>
      </c>
      <c r="F34" s="34" t="s">
        <v>646</v>
      </c>
      <c r="G34" s="17" t="s">
        <v>20</v>
      </c>
      <c r="H34" s="17" t="s">
        <v>21</v>
      </c>
      <c r="I34" s="36">
        <v>42867</v>
      </c>
      <c r="J34" s="35" t="str">
        <f t="shared" ca="1" si="0"/>
        <v xml:space="preserve">9 Tahun, 4 Bulan </v>
      </c>
      <c r="K34" s="33" t="s">
        <v>431</v>
      </c>
      <c r="L34" s="33" t="s">
        <v>432</v>
      </c>
      <c r="M34" s="17" t="s">
        <v>33</v>
      </c>
      <c r="N34" s="17" t="s">
        <v>25</v>
      </c>
      <c r="O34" s="17" t="s">
        <v>39</v>
      </c>
      <c r="P34" s="17" t="s">
        <v>27</v>
      </c>
      <c r="Q34" s="17">
        <v>1</v>
      </c>
      <c r="R34" s="17">
        <v>2</v>
      </c>
      <c r="S34" s="17">
        <v>2</v>
      </c>
      <c r="T34" s="17">
        <v>10</v>
      </c>
      <c r="U34" s="64"/>
    </row>
    <row r="35" spans="1:21" s="29" customFormat="1" ht="24.95" customHeight="1" x14ac:dyDescent="0.3">
      <c r="A35" s="27">
        <v>29</v>
      </c>
      <c r="B35" s="38" t="s">
        <v>660</v>
      </c>
      <c r="C35" s="38"/>
      <c r="D35" s="38"/>
      <c r="E35" s="17">
        <v>4572</v>
      </c>
      <c r="F35" s="34">
        <v>3164566763</v>
      </c>
      <c r="G35" s="17" t="s">
        <v>20</v>
      </c>
      <c r="H35" s="17" t="s">
        <v>21</v>
      </c>
      <c r="I35" s="36">
        <v>42642</v>
      </c>
      <c r="J35" s="35" t="str">
        <f t="shared" ca="1" si="0"/>
        <v xml:space="preserve">9 Tahun, 11 Bulan </v>
      </c>
      <c r="K35" s="33" t="s">
        <v>238</v>
      </c>
      <c r="L35" s="33" t="s">
        <v>239</v>
      </c>
      <c r="M35" s="17" t="s">
        <v>48</v>
      </c>
      <c r="N35" s="17" t="s">
        <v>25</v>
      </c>
      <c r="O35" s="17" t="s">
        <v>27</v>
      </c>
      <c r="P35" s="17" t="s">
        <v>27</v>
      </c>
      <c r="Q35" s="17">
        <v>2</v>
      </c>
      <c r="R35" s="17">
        <v>2</v>
      </c>
      <c r="S35" s="17">
        <v>3</v>
      </c>
      <c r="T35" s="17">
        <v>9</v>
      </c>
      <c r="U35" s="64"/>
    </row>
    <row r="36" spans="1:21" s="29" customFormat="1" ht="24.95" customHeight="1" x14ac:dyDescent="0.3">
      <c r="A36" s="27">
        <v>30</v>
      </c>
      <c r="B36" s="38" t="s">
        <v>367</v>
      </c>
      <c r="C36" s="38">
        <v>120</v>
      </c>
      <c r="D36" s="38">
        <v>25</v>
      </c>
      <c r="E36" s="17">
        <v>4573</v>
      </c>
      <c r="F36" s="34" t="s">
        <v>647</v>
      </c>
      <c r="G36" s="17" t="s">
        <v>36</v>
      </c>
      <c r="H36" s="17" t="s">
        <v>128</v>
      </c>
      <c r="I36" s="36">
        <v>42857</v>
      </c>
      <c r="J36" s="35" t="str">
        <f t="shared" ca="1" si="0"/>
        <v xml:space="preserve">9 Tahun, 4 Bulan </v>
      </c>
      <c r="K36" s="33" t="s">
        <v>433</v>
      </c>
      <c r="L36" s="33" t="s">
        <v>434</v>
      </c>
      <c r="M36" s="17" t="s">
        <v>48</v>
      </c>
      <c r="N36" s="17" t="s">
        <v>25</v>
      </c>
      <c r="O36" s="17" t="s">
        <v>419</v>
      </c>
      <c r="P36" s="17" t="s">
        <v>39</v>
      </c>
      <c r="Q36" s="17">
        <v>2</v>
      </c>
      <c r="R36" s="17">
        <v>3</v>
      </c>
      <c r="S36" s="17">
        <v>2</v>
      </c>
      <c r="T36" s="17">
        <v>10</v>
      </c>
      <c r="U36" s="64"/>
    </row>
    <row r="37" spans="1:21" s="29" customFormat="1" ht="24.95" customHeight="1" x14ac:dyDescent="0.3">
      <c r="A37" s="27">
        <v>31</v>
      </c>
      <c r="B37" s="38" t="s">
        <v>368</v>
      </c>
      <c r="C37" s="38">
        <v>122</v>
      </c>
      <c r="D37" s="38">
        <v>22</v>
      </c>
      <c r="E37" s="17">
        <v>4574</v>
      </c>
      <c r="F37" s="34" t="s">
        <v>648</v>
      </c>
      <c r="G37" s="17" t="s">
        <v>36</v>
      </c>
      <c r="H37" s="17" t="s">
        <v>21</v>
      </c>
      <c r="I37" s="36">
        <v>42848</v>
      </c>
      <c r="J37" s="35" t="str">
        <f t="shared" ca="1" si="0"/>
        <v xml:space="preserve">9 Tahun, 5 Bulan </v>
      </c>
      <c r="K37" s="33" t="s">
        <v>435</v>
      </c>
      <c r="L37" s="33" t="s">
        <v>436</v>
      </c>
      <c r="M37" s="17" t="s">
        <v>390</v>
      </c>
      <c r="N37" s="17" t="s">
        <v>25</v>
      </c>
      <c r="O37" s="17" t="s">
        <v>419</v>
      </c>
      <c r="P37" s="17" t="s">
        <v>39</v>
      </c>
      <c r="Q37" s="17">
        <v>1</v>
      </c>
      <c r="R37" s="17">
        <v>2</v>
      </c>
      <c r="S37" s="17">
        <v>3</v>
      </c>
      <c r="T37" s="17">
        <v>9</v>
      </c>
      <c r="U37" s="64"/>
    </row>
    <row r="38" spans="1:21" s="29" customFormat="1" ht="24.95" customHeight="1" x14ac:dyDescent="0.3">
      <c r="A38" s="27">
        <v>32</v>
      </c>
      <c r="B38" s="38" t="s">
        <v>369</v>
      </c>
      <c r="C38" s="38">
        <v>120</v>
      </c>
      <c r="D38" s="38">
        <v>25</v>
      </c>
      <c r="E38" s="17">
        <v>4575</v>
      </c>
      <c r="F38" s="34" t="s">
        <v>649</v>
      </c>
      <c r="G38" s="17" t="s">
        <v>36</v>
      </c>
      <c r="H38" s="17" t="s">
        <v>21</v>
      </c>
      <c r="I38" s="36">
        <v>42613</v>
      </c>
      <c r="J38" s="35" t="str">
        <f t="shared" ca="1" si="0"/>
        <v xml:space="preserve">10 Tahun, 0 Bulan </v>
      </c>
      <c r="K38" s="33" t="s">
        <v>229</v>
      </c>
      <c r="L38" s="33" t="s">
        <v>230</v>
      </c>
      <c r="M38" s="17" t="s">
        <v>48</v>
      </c>
      <c r="N38" s="17" t="s">
        <v>25</v>
      </c>
      <c r="O38" s="17" t="s">
        <v>27</v>
      </c>
      <c r="P38" s="17" t="s">
        <v>27</v>
      </c>
      <c r="Q38" s="17">
        <v>2</v>
      </c>
      <c r="R38" s="17">
        <v>3</v>
      </c>
      <c r="S38" s="17">
        <v>3</v>
      </c>
      <c r="T38" s="17">
        <v>9</v>
      </c>
      <c r="U38" s="64"/>
    </row>
    <row r="39" spans="1:21" s="29" customFormat="1" ht="24.95" customHeight="1" x14ac:dyDescent="0.3">
      <c r="A39" s="27">
        <v>33</v>
      </c>
      <c r="B39" s="38" t="s">
        <v>370</v>
      </c>
      <c r="C39" s="38"/>
      <c r="D39" s="38"/>
      <c r="E39" s="17">
        <v>4576</v>
      </c>
      <c r="F39" s="34" t="s">
        <v>650</v>
      </c>
      <c r="G39" s="17" t="s">
        <v>20</v>
      </c>
      <c r="H39" s="17" t="s">
        <v>21</v>
      </c>
      <c r="I39" s="36">
        <v>42662</v>
      </c>
      <c r="J39" s="35" t="str">
        <f t="shared" ca="1" si="0"/>
        <v xml:space="preserve">9 Tahun, 11 Bulan </v>
      </c>
      <c r="K39" s="33" t="s">
        <v>437</v>
      </c>
      <c r="L39" s="33" t="s">
        <v>438</v>
      </c>
      <c r="M39" s="17"/>
      <c r="N39" s="17" t="s">
        <v>25</v>
      </c>
      <c r="O39" s="17"/>
      <c r="P39" s="17" t="s">
        <v>27</v>
      </c>
      <c r="Q39" s="17">
        <v>4</v>
      </c>
      <c r="R39" s="17">
        <v>4</v>
      </c>
      <c r="S39" s="17">
        <v>3</v>
      </c>
      <c r="T39" s="17">
        <v>10</v>
      </c>
      <c r="U39" s="64"/>
    </row>
    <row r="40" spans="1:21" s="29" customFormat="1" ht="24.75" customHeight="1" x14ac:dyDescent="0.3">
      <c r="A40" s="27">
        <v>34</v>
      </c>
      <c r="B40" s="38" t="s">
        <v>371</v>
      </c>
      <c r="C40" s="38">
        <v>122</v>
      </c>
      <c r="D40" s="38">
        <v>25</v>
      </c>
      <c r="E40" s="17">
        <v>4577</v>
      </c>
      <c r="F40" s="34" t="s">
        <v>651</v>
      </c>
      <c r="G40" s="17" t="s">
        <v>20</v>
      </c>
      <c r="H40" s="17" t="s">
        <v>21</v>
      </c>
      <c r="I40" s="36">
        <v>42820</v>
      </c>
      <c r="J40" s="35" t="str">
        <f t="shared" ca="1" si="0"/>
        <v xml:space="preserve">9 Tahun, 5 Bulan </v>
      </c>
      <c r="K40" s="33" t="s">
        <v>247</v>
      </c>
      <c r="L40" s="33" t="s">
        <v>248</v>
      </c>
      <c r="M40" s="17" t="s">
        <v>390</v>
      </c>
      <c r="N40" s="17" t="s">
        <v>390</v>
      </c>
      <c r="O40" s="17" t="s">
        <v>26</v>
      </c>
      <c r="P40" s="17" t="s">
        <v>26</v>
      </c>
      <c r="Q40" s="17">
        <v>2</v>
      </c>
      <c r="R40" s="17">
        <v>2</v>
      </c>
      <c r="S40" s="17">
        <v>1</v>
      </c>
      <c r="T40" s="17">
        <v>10</v>
      </c>
      <c r="U40" s="64"/>
    </row>
    <row r="41" spans="1:21" s="29" customFormat="1" ht="24.95" customHeight="1" x14ac:dyDescent="0.3">
      <c r="A41" s="27">
        <v>35</v>
      </c>
      <c r="B41" s="38" t="s">
        <v>372</v>
      </c>
      <c r="C41" s="38">
        <v>126</v>
      </c>
      <c r="D41" s="38">
        <v>20</v>
      </c>
      <c r="E41" s="17">
        <v>4578</v>
      </c>
      <c r="F41" s="34" t="s">
        <v>652</v>
      </c>
      <c r="G41" s="17" t="s">
        <v>36</v>
      </c>
      <c r="H41" s="17" t="s">
        <v>21</v>
      </c>
      <c r="I41" s="36">
        <v>42561</v>
      </c>
      <c r="J41" s="35" t="str">
        <f t="shared" ca="1" si="0"/>
        <v xml:space="preserve">10 Tahun, 2 Bulan </v>
      </c>
      <c r="K41" s="33" t="s">
        <v>439</v>
      </c>
      <c r="L41" s="33" t="s">
        <v>440</v>
      </c>
      <c r="M41" s="17" t="s">
        <v>33</v>
      </c>
      <c r="N41" s="17" t="s">
        <v>25</v>
      </c>
      <c r="O41" s="17" t="s">
        <v>39</v>
      </c>
      <c r="P41" s="17" t="s">
        <v>27</v>
      </c>
      <c r="Q41" s="17">
        <v>4</v>
      </c>
      <c r="R41" s="17">
        <v>4</v>
      </c>
      <c r="S41" s="17">
        <v>1</v>
      </c>
      <c r="T41" s="17">
        <v>10</v>
      </c>
      <c r="U41" s="64"/>
    </row>
    <row r="42" spans="1:21" s="29" customFormat="1" ht="24.95" customHeight="1" x14ac:dyDescent="0.3">
      <c r="A42" s="27">
        <v>36</v>
      </c>
      <c r="B42" s="38" t="s">
        <v>373</v>
      </c>
      <c r="C42" s="38">
        <v>123</v>
      </c>
      <c r="D42" s="38">
        <v>20</v>
      </c>
      <c r="E42" s="17">
        <v>4580</v>
      </c>
      <c r="F42" s="34" t="s">
        <v>653</v>
      </c>
      <c r="G42" s="17" t="s">
        <v>36</v>
      </c>
      <c r="H42" s="17" t="s">
        <v>21</v>
      </c>
      <c r="I42" s="36">
        <v>42681</v>
      </c>
      <c r="J42" s="35" t="str">
        <f t="shared" ca="1" si="0"/>
        <v xml:space="preserve">9 Tahun, 10 Bulan </v>
      </c>
      <c r="K42" s="33" t="s">
        <v>441</v>
      </c>
      <c r="L42" s="33" t="s">
        <v>442</v>
      </c>
      <c r="M42" s="17" t="s">
        <v>390</v>
      </c>
      <c r="N42" s="17" t="s">
        <v>390</v>
      </c>
      <c r="O42" s="17" t="s">
        <v>39</v>
      </c>
      <c r="P42" s="17" t="s">
        <v>26</v>
      </c>
      <c r="Q42" s="17">
        <v>2</v>
      </c>
      <c r="R42" s="17">
        <v>2</v>
      </c>
      <c r="S42" s="17">
        <v>3</v>
      </c>
      <c r="T42" s="17">
        <v>10</v>
      </c>
      <c r="U42" s="64"/>
    </row>
    <row r="43" spans="1:21" s="29" customFormat="1" ht="24.95" customHeight="1" x14ac:dyDescent="0.3">
      <c r="A43" s="27">
        <v>37</v>
      </c>
      <c r="B43" s="38" t="s">
        <v>374</v>
      </c>
      <c r="C43" s="38">
        <v>110</v>
      </c>
      <c r="D43" s="38">
        <v>19</v>
      </c>
      <c r="E43" s="17">
        <v>4581</v>
      </c>
      <c r="F43" s="34" t="s">
        <v>654</v>
      </c>
      <c r="G43" s="17" t="s">
        <v>36</v>
      </c>
      <c r="H43" s="17" t="s">
        <v>21</v>
      </c>
      <c r="I43" s="36">
        <v>42579</v>
      </c>
      <c r="J43" s="35" t="str">
        <f t="shared" ca="1" si="0"/>
        <v xml:space="preserve">10 Tahun, 1 Bulan </v>
      </c>
      <c r="K43" s="33" t="s">
        <v>443</v>
      </c>
      <c r="L43" s="33" t="s">
        <v>444</v>
      </c>
      <c r="M43" s="17" t="s">
        <v>59</v>
      </c>
      <c r="N43" s="17" t="s">
        <v>445</v>
      </c>
      <c r="O43" s="17" t="s">
        <v>27</v>
      </c>
      <c r="P43" s="17" t="s">
        <v>27</v>
      </c>
      <c r="Q43" s="17">
        <v>2</v>
      </c>
      <c r="R43" s="17">
        <v>2</v>
      </c>
      <c r="S43" s="17">
        <v>2</v>
      </c>
      <c r="T43" s="17">
        <v>10</v>
      </c>
      <c r="U43" s="64"/>
    </row>
    <row r="44" spans="1:21" s="29" customFormat="1" ht="24.95" customHeight="1" x14ac:dyDescent="0.3">
      <c r="A44" s="27">
        <v>38</v>
      </c>
      <c r="B44" s="38" t="s">
        <v>375</v>
      </c>
      <c r="C44" s="38">
        <v>131</v>
      </c>
      <c r="D44" s="38">
        <v>40</v>
      </c>
      <c r="E44" s="17">
        <v>4582</v>
      </c>
      <c r="F44" s="34" t="s">
        <v>655</v>
      </c>
      <c r="G44" s="17" t="s">
        <v>20</v>
      </c>
      <c r="H44" s="17" t="s">
        <v>21</v>
      </c>
      <c r="I44" s="36">
        <v>42349</v>
      </c>
      <c r="J44" s="35" t="str">
        <f t="shared" ca="1" si="0"/>
        <v xml:space="preserve">10 Tahun, 9 Bulan </v>
      </c>
      <c r="K44" s="33" t="s">
        <v>446</v>
      </c>
      <c r="L44" s="33" t="s">
        <v>447</v>
      </c>
      <c r="M44" s="17" t="s">
        <v>48</v>
      </c>
      <c r="N44" s="17" t="s">
        <v>25</v>
      </c>
      <c r="O44" s="17" t="s">
        <v>39</v>
      </c>
      <c r="P44" s="17" t="s">
        <v>27</v>
      </c>
      <c r="Q44" s="17">
        <v>2</v>
      </c>
      <c r="R44" s="17">
        <v>2</v>
      </c>
      <c r="S44" s="17">
        <v>1</v>
      </c>
      <c r="T44" s="17">
        <v>10</v>
      </c>
      <c r="U44" s="64"/>
    </row>
    <row r="45" spans="1:21" s="29" customFormat="1" ht="24.75" customHeight="1" x14ac:dyDescent="0.3">
      <c r="A45" s="27">
        <v>39</v>
      </c>
      <c r="B45" s="38" t="s">
        <v>376</v>
      </c>
      <c r="C45" s="38">
        <v>147</v>
      </c>
      <c r="D45" s="38">
        <v>40</v>
      </c>
      <c r="E45" s="17">
        <v>4583</v>
      </c>
      <c r="F45" s="34" t="s">
        <v>656</v>
      </c>
      <c r="G45" s="17" t="s">
        <v>20</v>
      </c>
      <c r="H45" s="17" t="s">
        <v>21</v>
      </c>
      <c r="I45" s="36">
        <v>41216</v>
      </c>
      <c r="J45" s="35" t="str">
        <f t="shared" ca="1" si="0"/>
        <v xml:space="preserve">13 Tahun, 10 Bulan </v>
      </c>
      <c r="K45" s="33" t="s">
        <v>415</v>
      </c>
      <c r="L45" s="33" t="s">
        <v>416</v>
      </c>
      <c r="M45" s="17" t="s">
        <v>48</v>
      </c>
      <c r="N45" s="17"/>
      <c r="O45" s="17" t="s">
        <v>39</v>
      </c>
      <c r="P45" s="17"/>
      <c r="Q45" s="17">
        <v>3</v>
      </c>
      <c r="R45" s="17">
        <v>5</v>
      </c>
      <c r="S45" s="17">
        <v>2</v>
      </c>
      <c r="T45" s="17">
        <v>10</v>
      </c>
      <c r="U45" s="64"/>
    </row>
    <row r="46" spans="1:21" s="29" customFormat="1" ht="24.95" customHeight="1" x14ac:dyDescent="0.3">
      <c r="A46" s="27">
        <v>40</v>
      </c>
      <c r="B46" s="38" t="s">
        <v>377</v>
      </c>
      <c r="C46" s="38"/>
      <c r="D46" s="38"/>
      <c r="E46" s="17">
        <v>4584</v>
      </c>
      <c r="F46" s="34" t="s">
        <v>657</v>
      </c>
      <c r="G46" s="17" t="s">
        <v>36</v>
      </c>
      <c r="H46" s="17" t="s">
        <v>21</v>
      </c>
      <c r="I46" s="36">
        <v>42462</v>
      </c>
      <c r="J46" s="35" t="str">
        <f t="shared" ca="1" si="0"/>
        <v xml:space="preserve">10 Tahun, 5 Bulan </v>
      </c>
      <c r="K46" s="33" t="s">
        <v>448</v>
      </c>
      <c r="L46" s="33" t="s">
        <v>449</v>
      </c>
      <c r="M46" s="17" t="s">
        <v>48</v>
      </c>
      <c r="N46" s="17" t="s">
        <v>25</v>
      </c>
      <c r="O46" s="17" t="s">
        <v>27</v>
      </c>
      <c r="P46" s="17" t="s">
        <v>27</v>
      </c>
      <c r="Q46" s="17">
        <v>1</v>
      </c>
      <c r="R46" s="17">
        <v>1</v>
      </c>
      <c r="S46" s="17">
        <v>1</v>
      </c>
      <c r="T46" s="17">
        <v>11</v>
      </c>
      <c r="U46" s="64"/>
    </row>
    <row r="47" spans="1:21" s="29" customFormat="1" ht="24.95" customHeight="1" x14ac:dyDescent="0.3">
      <c r="A47" s="27">
        <v>41</v>
      </c>
      <c r="B47" s="38" t="s">
        <v>378</v>
      </c>
      <c r="C47" s="38"/>
      <c r="D47" s="38"/>
      <c r="E47" s="17">
        <v>4585</v>
      </c>
      <c r="F47" s="34" t="s">
        <v>658</v>
      </c>
      <c r="G47" s="17" t="s">
        <v>36</v>
      </c>
      <c r="H47" s="17" t="s">
        <v>21</v>
      </c>
      <c r="I47" s="36">
        <v>42776</v>
      </c>
      <c r="J47" s="35" t="str">
        <f t="shared" ca="1" si="0"/>
        <v xml:space="preserve">9 Tahun, 7 Bulan </v>
      </c>
      <c r="K47" s="33" t="s">
        <v>450</v>
      </c>
      <c r="L47" s="33" t="s">
        <v>451</v>
      </c>
      <c r="M47" s="17" t="s">
        <v>452</v>
      </c>
      <c r="N47" s="17" t="s">
        <v>25</v>
      </c>
      <c r="O47" s="17" t="s">
        <v>27</v>
      </c>
      <c r="P47" s="17" t="s">
        <v>27</v>
      </c>
      <c r="Q47" s="17">
        <v>2</v>
      </c>
      <c r="R47" s="17">
        <v>2</v>
      </c>
      <c r="S47" s="17">
        <v>2</v>
      </c>
      <c r="T47" s="17">
        <v>11</v>
      </c>
      <c r="U47" s="64"/>
    </row>
    <row r="48" spans="1:21" s="29" customFormat="1" ht="24.95" customHeight="1" x14ac:dyDescent="0.3">
      <c r="A48" s="27">
        <v>42</v>
      </c>
      <c r="B48" s="38" t="s">
        <v>379</v>
      </c>
      <c r="C48" s="38">
        <v>125</v>
      </c>
      <c r="D48" s="38">
        <v>33</v>
      </c>
      <c r="E48" s="17">
        <v>4586</v>
      </c>
      <c r="F48" s="34" t="s">
        <v>659</v>
      </c>
      <c r="G48" s="17" t="s">
        <v>36</v>
      </c>
      <c r="H48" s="17" t="s">
        <v>21</v>
      </c>
      <c r="I48" s="36">
        <v>42572</v>
      </c>
      <c r="J48" s="35" t="str">
        <f t="shared" ca="1" si="0"/>
        <v xml:space="preserve">10 Tahun, 2 Bulan </v>
      </c>
      <c r="K48" s="33" t="s">
        <v>453</v>
      </c>
      <c r="L48" s="33" t="s">
        <v>454</v>
      </c>
      <c r="M48" s="17" t="s">
        <v>224</v>
      </c>
      <c r="N48" s="17" t="s">
        <v>25</v>
      </c>
      <c r="O48" s="17" t="s">
        <v>39</v>
      </c>
      <c r="P48" s="17" t="s">
        <v>27</v>
      </c>
      <c r="Q48" s="17">
        <v>2</v>
      </c>
      <c r="R48" s="17">
        <v>3</v>
      </c>
      <c r="S48" s="17">
        <v>3</v>
      </c>
      <c r="T48" s="17">
        <v>10</v>
      </c>
      <c r="U48" s="64"/>
    </row>
    <row r="49" spans="1:18" x14ac:dyDescent="0.3">
      <c r="A49" s="1"/>
      <c r="B49" s="2"/>
      <c r="C49" s="1"/>
      <c r="D49" s="1"/>
      <c r="G49" s="3"/>
      <c r="H49" s="3"/>
      <c r="I49" s="4" t="s">
        <v>256</v>
      </c>
    </row>
    <row r="50" spans="1:18" x14ac:dyDescent="0.3">
      <c r="A50" s="6"/>
      <c r="B50" s="6"/>
      <c r="C50" s="7" t="s">
        <v>212</v>
      </c>
      <c r="D50" s="7"/>
      <c r="E50" s="7">
        <f>COUNTIF(G7:G48,"L")</f>
        <v>25</v>
      </c>
      <c r="G50" s="8"/>
      <c r="H50" s="8"/>
      <c r="I50" s="7"/>
      <c r="J50" s="7"/>
      <c r="K50" s="22"/>
      <c r="L50" s="22"/>
      <c r="M50" s="22"/>
      <c r="N50" s="22"/>
      <c r="O50" s="6"/>
      <c r="P50" s="5"/>
      <c r="Q50" s="5"/>
      <c r="R50" s="5"/>
    </row>
    <row r="51" spans="1:18" x14ac:dyDescent="0.3">
      <c r="A51" s="6"/>
      <c r="B51" s="6"/>
      <c r="C51" s="7" t="s">
        <v>213</v>
      </c>
      <c r="D51" s="7"/>
      <c r="E51" s="7">
        <f>COUNTIF(G7:G48,"P")</f>
        <v>17</v>
      </c>
      <c r="G51" s="8"/>
      <c r="H51" s="8"/>
      <c r="I51" s="7"/>
      <c r="J51" s="7"/>
      <c r="K51" s="22"/>
      <c r="L51" s="22"/>
      <c r="M51" s="22"/>
      <c r="N51" s="22"/>
      <c r="O51" s="6"/>
      <c r="P51" s="5"/>
      <c r="Q51" s="5"/>
      <c r="R51" s="5"/>
    </row>
    <row r="52" spans="1:18" x14ac:dyDescent="0.3">
      <c r="A52" s="6"/>
      <c r="B52" s="6"/>
      <c r="C52" s="26" t="s">
        <v>214</v>
      </c>
      <c r="D52" s="7"/>
      <c r="E52" s="26">
        <f>SUM(E50:E51)</f>
        <v>42</v>
      </c>
      <c r="G52" s="8"/>
      <c r="H52" s="8"/>
      <c r="I52" s="7"/>
      <c r="J52" s="7"/>
      <c r="K52" s="22"/>
      <c r="L52" s="22"/>
      <c r="M52" s="22"/>
      <c r="N52" s="22"/>
      <c r="O52" s="6"/>
      <c r="P52" s="5"/>
      <c r="Q52" s="5"/>
      <c r="R52" s="5"/>
    </row>
    <row r="53" spans="1:18" x14ac:dyDescent="0.3">
      <c r="A53" s="6"/>
      <c r="B53" s="9" t="s">
        <v>215</v>
      </c>
      <c r="E53" s="9"/>
      <c r="F53" s="16"/>
      <c r="G53" s="11"/>
      <c r="H53" s="11"/>
      <c r="I53" s="12"/>
      <c r="J53" s="6"/>
      <c r="K53" s="24"/>
      <c r="L53" s="22"/>
      <c r="M53" s="24" t="s">
        <v>920</v>
      </c>
      <c r="N53" s="22"/>
      <c r="O53" s="6"/>
      <c r="P53" s="5"/>
      <c r="Q53" s="5"/>
      <c r="R53" s="5"/>
    </row>
    <row r="54" spans="1:18" x14ac:dyDescent="0.3">
      <c r="A54" s="6"/>
      <c r="B54" s="9" t="s">
        <v>216</v>
      </c>
      <c r="E54" s="9"/>
      <c r="F54" s="16"/>
      <c r="G54" s="11"/>
      <c r="H54" s="11"/>
      <c r="I54" s="12"/>
      <c r="J54" s="6"/>
      <c r="K54" s="24"/>
      <c r="L54" s="22"/>
      <c r="M54" s="24" t="s">
        <v>265</v>
      </c>
      <c r="N54" s="22"/>
      <c r="O54" s="6"/>
      <c r="P54" s="5"/>
      <c r="Q54" s="5"/>
      <c r="R54" s="5"/>
    </row>
    <row r="55" spans="1:18" x14ac:dyDescent="0.3">
      <c r="A55" s="6"/>
      <c r="B55" s="9"/>
      <c r="E55" s="9"/>
      <c r="F55" s="16"/>
      <c r="G55" s="11"/>
      <c r="H55" s="11"/>
      <c r="I55" s="12"/>
      <c r="J55" s="6"/>
      <c r="K55" s="24"/>
      <c r="L55" s="22"/>
      <c r="M55" s="24"/>
      <c r="N55" s="22"/>
      <c r="O55" s="6"/>
      <c r="P55" s="5"/>
      <c r="Q55" s="5"/>
      <c r="R55" s="5"/>
    </row>
    <row r="56" spans="1:18" x14ac:dyDescent="0.3">
      <c r="A56" s="6"/>
      <c r="B56" s="9"/>
      <c r="E56" s="9"/>
      <c r="F56" s="16"/>
      <c r="G56" s="11"/>
      <c r="H56" s="11"/>
      <c r="I56" s="12"/>
      <c r="J56" s="6"/>
      <c r="K56" s="24"/>
      <c r="L56" s="22"/>
      <c r="M56" s="24"/>
      <c r="N56" s="22"/>
      <c r="O56" s="6"/>
      <c r="P56" s="5"/>
      <c r="Q56" s="5"/>
      <c r="R56" s="5"/>
    </row>
    <row r="57" spans="1:18" x14ac:dyDescent="0.3">
      <c r="A57" s="6"/>
      <c r="B57" s="9"/>
      <c r="E57" s="9"/>
      <c r="F57" s="16"/>
      <c r="G57" s="11"/>
      <c r="H57" s="11"/>
      <c r="I57" s="12"/>
      <c r="J57" s="6"/>
      <c r="K57" s="24"/>
      <c r="L57" s="22"/>
      <c r="M57" s="24"/>
      <c r="N57" s="22"/>
      <c r="O57" s="6"/>
      <c r="P57" s="5"/>
      <c r="Q57" s="5"/>
      <c r="R57" s="5"/>
    </row>
    <row r="58" spans="1:18" x14ac:dyDescent="0.3">
      <c r="A58" s="6"/>
      <c r="B58" s="13" t="s">
        <v>217</v>
      </c>
      <c r="E58" s="9"/>
      <c r="F58" s="16"/>
      <c r="G58" s="14"/>
      <c r="H58" s="14"/>
      <c r="I58" s="15"/>
      <c r="J58" s="6"/>
      <c r="K58" s="24"/>
      <c r="L58" s="6"/>
      <c r="M58" s="15" t="s">
        <v>263</v>
      </c>
      <c r="N58" s="6"/>
      <c r="O58" s="6"/>
      <c r="P58" s="5"/>
      <c r="Q58" s="5"/>
      <c r="R58" s="5"/>
    </row>
    <row r="59" spans="1:18" x14ac:dyDescent="0.3">
      <c r="A59" s="6"/>
      <c r="B59" s="9" t="s">
        <v>218</v>
      </c>
      <c r="E59" s="9"/>
      <c r="F59" s="16"/>
      <c r="G59" s="11"/>
      <c r="H59" s="11"/>
      <c r="I59" s="16"/>
      <c r="J59" s="6"/>
      <c r="K59" s="24"/>
      <c r="L59" s="6"/>
      <c r="M59" s="16" t="s">
        <v>264</v>
      </c>
      <c r="N59" s="6"/>
      <c r="O59" s="6"/>
      <c r="P59" s="5"/>
      <c r="Q59" s="5"/>
      <c r="R59" s="5"/>
    </row>
  </sheetData>
  <mergeCells count="20">
    <mergeCell ref="A1:R1"/>
    <mergeCell ref="A2:R2"/>
    <mergeCell ref="A3:R3"/>
    <mergeCell ref="A5:A6"/>
    <mergeCell ref="B5:B6"/>
    <mergeCell ref="E5:E6"/>
    <mergeCell ref="F5:F6"/>
    <mergeCell ref="G5:G6"/>
    <mergeCell ref="H5:H6"/>
    <mergeCell ref="I5:I6"/>
    <mergeCell ref="R5:R6"/>
    <mergeCell ref="K5:K6"/>
    <mergeCell ref="L5:L6"/>
    <mergeCell ref="C5:C6"/>
    <mergeCell ref="D5:D6"/>
    <mergeCell ref="M5:N5"/>
    <mergeCell ref="S5:T5"/>
    <mergeCell ref="J5:J6"/>
    <mergeCell ref="O5:P5"/>
    <mergeCell ref="Q5:Q6"/>
  </mergeCells>
  <pageMargins left="0.5" right="0.5" top="0.71" bottom="0.5" header="0.3" footer="0.3"/>
  <pageSetup paperSize="256"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R41"/>
  <sheetViews>
    <sheetView view="pageBreakPreview" topLeftCell="A9" zoomScale="50" zoomScaleNormal="50" zoomScaleSheetLayoutView="50" workbookViewId="0">
      <selection activeCell="I7" sqref="I7:I30"/>
    </sheetView>
  </sheetViews>
  <sheetFormatPr defaultColWidth="9.140625" defaultRowHeight="18.75" x14ac:dyDescent="0.3"/>
  <cols>
    <col min="1" max="1" width="7" style="5" bestFit="1" customWidth="1"/>
    <col min="2" max="2" width="50.85546875" style="5" customWidth="1"/>
    <col min="3" max="3" width="9.85546875" style="10" customWidth="1"/>
    <col min="4" max="4" width="11.5703125" style="10" customWidth="1"/>
    <col min="5" max="5" width="6.7109375" style="1" customWidth="1"/>
    <col min="6" max="6" width="15.7109375" style="10" customWidth="1"/>
    <col min="7" max="7" width="29" style="28" bestFit="1" customWidth="1"/>
    <col min="8" max="8" width="29" style="28" customWidth="1"/>
    <col min="9" max="10" width="31" style="5" customWidth="1"/>
    <col min="11" max="11" width="30.140625" style="1" customWidth="1"/>
    <col min="12" max="12" width="26.7109375" style="1" bestFit="1" customWidth="1"/>
    <col min="13" max="13" width="10.42578125" style="1" customWidth="1"/>
    <col min="14" max="14" width="9.85546875" style="1" customWidth="1"/>
    <col min="15" max="15" width="11.85546875" style="1" bestFit="1" customWidth="1"/>
    <col min="16" max="16" width="14.140625" style="1" customWidth="1"/>
    <col min="17" max="17" width="8" style="1" customWidth="1"/>
    <col min="18" max="18" width="7.28515625" style="1" bestFit="1" customWidth="1"/>
    <col min="19" max="16384" width="9.140625" style="5"/>
  </cols>
  <sheetData>
    <row r="1" spans="1:21" ht="21" x14ac:dyDescent="0.35">
      <c r="A1" s="125" t="s">
        <v>668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21" ht="21" x14ac:dyDescent="0.35">
      <c r="A2" s="125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</row>
    <row r="3" spans="1:21" ht="21" x14ac:dyDescent="0.35">
      <c r="A3" s="125" t="s">
        <v>666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</row>
    <row r="4" spans="1:21" x14ac:dyDescent="0.3">
      <c r="A4" s="50"/>
      <c r="B4" s="50"/>
      <c r="C4" s="51"/>
      <c r="D4" s="51" t="s">
        <v>256</v>
      </c>
      <c r="E4" s="52"/>
      <c r="F4" s="51"/>
      <c r="G4" s="53"/>
      <c r="H4" s="53"/>
      <c r="I4" s="50"/>
      <c r="J4" s="50"/>
      <c r="K4" s="52"/>
      <c r="L4" s="52"/>
      <c r="M4" s="52"/>
      <c r="N4" s="52"/>
      <c r="O4" s="52"/>
      <c r="P4" s="52"/>
      <c r="Q4" s="52"/>
      <c r="R4" s="52"/>
    </row>
    <row r="5" spans="1:21" s="23" customFormat="1" ht="47.25" customHeight="1" x14ac:dyDescent="0.25">
      <c r="A5" s="120" t="s">
        <v>1</v>
      </c>
      <c r="B5" s="120" t="s">
        <v>2</v>
      </c>
      <c r="C5" s="121" t="s">
        <v>836</v>
      </c>
      <c r="D5" s="121" t="s">
        <v>837</v>
      </c>
      <c r="E5" s="120" t="s">
        <v>3</v>
      </c>
      <c r="F5" s="120" t="s">
        <v>4</v>
      </c>
      <c r="G5" s="120" t="s">
        <v>5</v>
      </c>
      <c r="H5" s="120" t="s">
        <v>6</v>
      </c>
      <c r="I5" s="126" t="s">
        <v>7</v>
      </c>
      <c r="J5" s="123" t="s">
        <v>8</v>
      </c>
      <c r="K5" s="120" t="s">
        <v>9</v>
      </c>
      <c r="L5" s="120" t="s">
        <v>10</v>
      </c>
      <c r="M5" s="120" t="s">
        <v>11</v>
      </c>
      <c r="N5" s="120"/>
      <c r="O5" s="120" t="s">
        <v>12</v>
      </c>
      <c r="P5" s="120"/>
      <c r="Q5" s="120" t="s">
        <v>13</v>
      </c>
      <c r="R5" s="120" t="s">
        <v>14</v>
      </c>
      <c r="S5" s="120" t="s">
        <v>15</v>
      </c>
      <c r="T5" s="120"/>
    </row>
    <row r="6" spans="1:21" s="23" customFormat="1" ht="39.75" customHeight="1" x14ac:dyDescent="0.25">
      <c r="A6" s="120"/>
      <c r="B6" s="120"/>
      <c r="C6" s="122"/>
      <c r="D6" s="122"/>
      <c r="E6" s="120"/>
      <c r="F6" s="120"/>
      <c r="G6" s="120"/>
      <c r="H6" s="120"/>
      <c r="I6" s="126"/>
      <c r="J6" s="124"/>
      <c r="K6" s="120"/>
      <c r="L6" s="120"/>
      <c r="M6" s="48" t="s">
        <v>9</v>
      </c>
      <c r="N6" s="48" t="s">
        <v>10</v>
      </c>
      <c r="O6" s="48" t="s">
        <v>9</v>
      </c>
      <c r="P6" s="48" t="s">
        <v>10</v>
      </c>
      <c r="Q6" s="120"/>
      <c r="R6" s="120"/>
      <c r="S6" s="48" t="s">
        <v>16</v>
      </c>
      <c r="T6" s="48" t="s">
        <v>17</v>
      </c>
    </row>
    <row r="7" spans="1:21" s="29" customFormat="1" ht="24.95" customHeight="1" x14ac:dyDescent="0.25">
      <c r="A7" s="41">
        <v>1</v>
      </c>
      <c r="B7" s="44" t="s">
        <v>266</v>
      </c>
      <c r="C7" s="44"/>
      <c r="D7" s="44"/>
      <c r="E7" s="41">
        <v>4492</v>
      </c>
      <c r="F7" s="42" t="s">
        <v>267</v>
      </c>
      <c r="G7" s="41" t="s">
        <v>20</v>
      </c>
      <c r="H7" s="41" t="s">
        <v>21</v>
      </c>
      <c r="I7" s="43">
        <v>42092</v>
      </c>
      <c r="J7" s="43" t="str">
        <f ca="1">DATEDIF(I7,TODAY(),"Y")&amp;" Tahun, "&amp;DATEDIF(I7,TODAY(),"YM")&amp;" Bulan "</f>
        <v xml:space="preserve">11 Tahun, 5 Bulan </v>
      </c>
      <c r="K7" s="44" t="s">
        <v>268</v>
      </c>
      <c r="L7" s="44" t="s">
        <v>269</v>
      </c>
      <c r="M7" s="41" t="s">
        <v>48</v>
      </c>
      <c r="N7" s="41" t="s">
        <v>48</v>
      </c>
      <c r="O7" s="41" t="s">
        <v>27</v>
      </c>
      <c r="P7" s="41" t="s">
        <v>39</v>
      </c>
      <c r="Q7" s="41">
        <v>1</v>
      </c>
      <c r="R7" s="41"/>
      <c r="S7" s="41">
        <v>2</v>
      </c>
      <c r="T7" s="41">
        <v>13</v>
      </c>
      <c r="U7" s="65"/>
    </row>
    <row r="8" spans="1:21" s="29" customFormat="1" ht="24.95" customHeight="1" x14ac:dyDescent="0.25">
      <c r="A8" s="41">
        <v>2</v>
      </c>
      <c r="B8" s="44" t="s">
        <v>270</v>
      </c>
      <c r="C8" s="44"/>
      <c r="D8" s="44"/>
      <c r="E8" s="41">
        <v>4494</v>
      </c>
      <c r="F8" s="42" t="s">
        <v>271</v>
      </c>
      <c r="G8" s="41" t="s">
        <v>20</v>
      </c>
      <c r="H8" s="41" t="s">
        <v>21</v>
      </c>
      <c r="I8" s="43" t="s">
        <v>297</v>
      </c>
      <c r="J8" s="43" t="str">
        <f t="shared" ref="J8:J30" ca="1" si="0">DATEDIF(I8,TODAY(),"Y")&amp;" Tahun, "&amp;DATEDIF(I8,TODAY(),"YM")&amp;" Bulan "</f>
        <v xml:space="preserve">11 Tahun, 9 Bulan </v>
      </c>
      <c r="K8" s="44" t="s">
        <v>143</v>
      </c>
      <c r="L8" s="44" t="s">
        <v>272</v>
      </c>
      <c r="M8" s="41" t="s">
        <v>48</v>
      </c>
      <c r="N8" s="41" t="s">
        <v>25</v>
      </c>
      <c r="O8" s="41" t="s">
        <v>27</v>
      </c>
      <c r="P8" s="41" t="s">
        <v>27</v>
      </c>
      <c r="Q8" s="41">
        <v>5</v>
      </c>
      <c r="R8" s="41">
        <v>4</v>
      </c>
      <c r="S8" s="41">
        <v>3</v>
      </c>
      <c r="T8" s="41">
        <v>8</v>
      </c>
      <c r="U8" s="65"/>
    </row>
    <row r="9" spans="1:21" s="30" customFormat="1" ht="24.95" customHeight="1" x14ac:dyDescent="0.25">
      <c r="A9" s="41">
        <v>3</v>
      </c>
      <c r="B9" s="44" t="s">
        <v>273</v>
      </c>
      <c r="C9" s="44"/>
      <c r="D9" s="44"/>
      <c r="E9" s="41">
        <v>4505</v>
      </c>
      <c r="F9" s="42" t="s">
        <v>274</v>
      </c>
      <c r="G9" s="41" t="s">
        <v>36</v>
      </c>
      <c r="H9" s="41" t="s">
        <v>21</v>
      </c>
      <c r="I9" s="43">
        <v>41833</v>
      </c>
      <c r="J9" s="43" t="str">
        <f t="shared" ca="1" si="0"/>
        <v xml:space="preserve">12 Tahun, 2 Bulan </v>
      </c>
      <c r="K9" s="44" t="s">
        <v>275</v>
      </c>
      <c r="L9" s="44" t="s">
        <v>276</v>
      </c>
      <c r="M9" s="41" t="s">
        <v>48</v>
      </c>
      <c r="N9" s="41" t="s">
        <v>25</v>
      </c>
      <c r="O9" s="41" t="s">
        <v>27</v>
      </c>
      <c r="P9" s="41" t="s">
        <v>27</v>
      </c>
      <c r="Q9" s="41">
        <v>1</v>
      </c>
      <c r="R9" s="41">
        <v>1</v>
      </c>
      <c r="S9" s="41">
        <v>6</v>
      </c>
      <c r="T9" s="41">
        <v>4</v>
      </c>
      <c r="U9" s="66"/>
    </row>
    <row r="10" spans="1:21" s="30" customFormat="1" ht="24.95" customHeight="1" x14ac:dyDescent="0.3">
      <c r="A10" s="41">
        <v>4</v>
      </c>
      <c r="B10" s="76" t="s">
        <v>277</v>
      </c>
      <c r="C10" s="76"/>
      <c r="D10" s="76"/>
      <c r="E10" s="41">
        <v>4516</v>
      </c>
      <c r="F10" s="42" t="s">
        <v>730</v>
      </c>
      <c r="G10" s="41" t="s">
        <v>36</v>
      </c>
      <c r="H10" s="41" t="s">
        <v>21</v>
      </c>
      <c r="I10" s="43" t="s">
        <v>296</v>
      </c>
      <c r="J10" s="43" t="str">
        <f t="shared" ca="1" si="0"/>
        <v xml:space="preserve">11 Tahun, 0 Bulan </v>
      </c>
      <c r="K10" s="44" t="s">
        <v>302</v>
      </c>
      <c r="L10" s="44" t="s">
        <v>303</v>
      </c>
      <c r="M10" s="41"/>
      <c r="N10" s="41" t="s">
        <v>25</v>
      </c>
      <c r="O10" s="41"/>
      <c r="P10" s="41"/>
      <c r="Q10" s="41"/>
      <c r="R10" s="41"/>
      <c r="S10" s="41"/>
      <c r="T10" s="41"/>
      <c r="U10" s="66"/>
    </row>
    <row r="11" spans="1:21" s="30" customFormat="1" ht="24.95" customHeight="1" x14ac:dyDescent="0.3">
      <c r="A11" s="41">
        <v>5</v>
      </c>
      <c r="B11" s="76" t="s">
        <v>278</v>
      </c>
      <c r="C11" s="76"/>
      <c r="D11" s="76"/>
      <c r="E11" s="41">
        <v>4517</v>
      </c>
      <c r="F11" s="42" t="s">
        <v>731</v>
      </c>
      <c r="G11" s="41" t="s">
        <v>36</v>
      </c>
      <c r="H11" s="41" t="s">
        <v>21</v>
      </c>
      <c r="I11" s="43">
        <v>42134</v>
      </c>
      <c r="J11" s="43" t="str">
        <f t="shared" ca="1" si="0"/>
        <v xml:space="preserve">11 Tahun, 4 Bulan </v>
      </c>
      <c r="K11" s="44" t="s">
        <v>304</v>
      </c>
      <c r="L11" s="44" t="s">
        <v>305</v>
      </c>
      <c r="M11" s="41" t="s">
        <v>33</v>
      </c>
      <c r="N11" s="41" t="s">
        <v>25</v>
      </c>
      <c r="O11" s="41"/>
      <c r="P11" s="41"/>
      <c r="Q11" s="41"/>
      <c r="R11" s="41"/>
      <c r="S11" s="41"/>
      <c r="T11" s="41"/>
      <c r="U11" s="66"/>
    </row>
    <row r="12" spans="1:21" s="30" customFormat="1" ht="24.95" customHeight="1" x14ac:dyDescent="0.3">
      <c r="A12" s="41">
        <v>6</v>
      </c>
      <c r="B12" s="76" t="s">
        <v>279</v>
      </c>
      <c r="C12" s="76"/>
      <c r="D12" s="76"/>
      <c r="E12" s="41">
        <v>4518</v>
      </c>
      <c r="F12" s="42" t="s">
        <v>732</v>
      </c>
      <c r="G12" s="41" t="s">
        <v>36</v>
      </c>
      <c r="H12" s="41" t="s">
        <v>21</v>
      </c>
      <c r="I12" s="43">
        <v>42544</v>
      </c>
      <c r="J12" s="43" t="str">
        <f t="shared" ca="1" si="0"/>
        <v xml:space="preserve">10 Tahun, 3 Bulan </v>
      </c>
      <c r="K12" s="44" t="s">
        <v>306</v>
      </c>
      <c r="L12" s="44" t="s">
        <v>307</v>
      </c>
      <c r="M12" s="41" t="s">
        <v>33</v>
      </c>
      <c r="N12" s="41" t="s">
        <v>25</v>
      </c>
      <c r="O12" s="41"/>
      <c r="P12" s="41"/>
      <c r="Q12" s="41"/>
      <c r="R12" s="41"/>
      <c r="S12" s="41"/>
      <c r="T12" s="41"/>
      <c r="U12" s="66"/>
    </row>
    <row r="13" spans="1:21" s="29" customFormat="1" ht="24.95" customHeight="1" x14ac:dyDescent="0.3">
      <c r="A13" s="41">
        <v>7</v>
      </c>
      <c r="B13" s="76" t="s">
        <v>280</v>
      </c>
      <c r="C13" s="76"/>
      <c r="D13" s="76"/>
      <c r="E13" s="41">
        <v>4519</v>
      </c>
      <c r="F13" s="42" t="s">
        <v>733</v>
      </c>
      <c r="G13" s="41" t="s">
        <v>20</v>
      </c>
      <c r="H13" s="41" t="s">
        <v>21</v>
      </c>
      <c r="I13" s="43">
        <v>41942</v>
      </c>
      <c r="J13" s="43" t="str">
        <f t="shared" ca="1" si="0"/>
        <v xml:space="preserve">11 Tahun, 10 Bulan </v>
      </c>
      <c r="K13" s="44" t="s">
        <v>225</v>
      </c>
      <c r="L13" s="44" t="s">
        <v>226</v>
      </c>
      <c r="M13" s="41"/>
      <c r="N13" s="41" t="s">
        <v>33</v>
      </c>
      <c r="O13" s="41"/>
      <c r="P13" s="41"/>
      <c r="Q13" s="41"/>
      <c r="R13" s="41"/>
      <c r="S13" s="41"/>
      <c r="T13" s="41"/>
      <c r="U13" s="65"/>
    </row>
    <row r="14" spans="1:21" s="29" customFormat="1" ht="24.95" customHeight="1" x14ac:dyDescent="0.3">
      <c r="A14" s="41">
        <v>8</v>
      </c>
      <c r="B14" s="76" t="s">
        <v>281</v>
      </c>
      <c r="C14" s="76"/>
      <c r="D14" s="76"/>
      <c r="E14" s="41">
        <v>4520</v>
      </c>
      <c r="F14" s="42" t="s">
        <v>734</v>
      </c>
      <c r="G14" s="41" t="s">
        <v>20</v>
      </c>
      <c r="H14" s="41" t="s">
        <v>21</v>
      </c>
      <c r="I14" s="43" t="s">
        <v>298</v>
      </c>
      <c r="J14" s="43" t="str">
        <f t="shared" ca="1" si="0"/>
        <v xml:space="preserve">10 Tahun, 0 Bulan </v>
      </c>
      <c r="K14" s="44" t="s">
        <v>308</v>
      </c>
      <c r="L14" s="44" t="s">
        <v>309</v>
      </c>
      <c r="M14" s="41" t="s">
        <v>48</v>
      </c>
      <c r="N14" s="41" t="s">
        <v>48</v>
      </c>
      <c r="O14" s="41"/>
      <c r="P14" s="41"/>
      <c r="Q14" s="41"/>
      <c r="R14" s="41"/>
      <c r="S14" s="41"/>
      <c r="T14" s="41"/>
      <c r="U14" s="65"/>
    </row>
    <row r="15" spans="1:21" s="29" customFormat="1" ht="24.95" customHeight="1" x14ac:dyDescent="0.3">
      <c r="A15" s="41">
        <v>9</v>
      </c>
      <c r="B15" s="76" t="s">
        <v>282</v>
      </c>
      <c r="C15" s="76"/>
      <c r="D15" s="76"/>
      <c r="E15" s="41">
        <v>4521</v>
      </c>
      <c r="F15" s="42" t="s">
        <v>735</v>
      </c>
      <c r="G15" s="41" t="s">
        <v>20</v>
      </c>
      <c r="H15" s="41" t="s">
        <v>21</v>
      </c>
      <c r="I15" s="43">
        <v>42060</v>
      </c>
      <c r="J15" s="43" t="str">
        <f t="shared" ca="1" si="0"/>
        <v xml:space="preserve">11 Tahun, 6 Bulan </v>
      </c>
      <c r="K15" s="44" t="s">
        <v>310</v>
      </c>
      <c r="L15" s="44" t="s">
        <v>311</v>
      </c>
      <c r="M15" s="41" t="s">
        <v>33</v>
      </c>
      <c r="N15" s="41" t="s">
        <v>25</v>
      </c>
      <c r="O15" s="41"/>
      <c r="P15" s="41"/>
      <c r="Q15" s="41"/>
      <c r="R15" s="41"/>
      <c r="S15" s="41"/>
      <c r="T15" s="41"/>
      <c r="U15" s="65"/>
    </row>
    <row r="16" spans="1:21" s="29" customFormat="1" ht="24.95" customHeight="1" x14ac:dyDescent="0.3">
      <c r="A16" s="41">
        <v>10</v>
      </c>
      <c r="B16" s="76" t="s">
        <v>283</v>
      </c>
      <c r="C16" s="76"/>
      <c r="D16" s="76"/>
      <c r="E16" s="41">
        <v>4522</v>
      </c>
      <c r="F16" s="42" t="s">
        <v>736</v>
      </c>
      <c r="G16" s="41" t="s">
        <v>20</v>
      </c>
      <c r="H16" s="41" t="s">
        <v>21</v>
      </c>
      <c r="I16" s="43">
        <v>42378</v>
      </c>
      <c r="J16" s="43" t="str">
        <f t="shared" ca="1" si="0"/>
        <v xml:space="preserve">10 Tahun, 8 Bulan </v>
      </c>
      <c r="K16" s="44" t="s">
        <v>312</v>
      </c>
      <c r="L16" s="44" t="s">
        <v>313</v>
      </c>
      <c r="M16" s="41" t="s">
        <v>59</v>
      </c>
      <c r="N16" s="41" t="s">
        <v>59</v>
      </c>
      <c r="O16" s="41"/>
      <c r="P16" s="41"/>
      <c r="Q16" s="41"/>
      <c r="R16" s="41"/>
      <c r="S16" s="41"/>
      <c r="T16" s="41"/>
      <c r="U16" s="65"/>
    </row>
    <row r="17" spans="1:252" s="29" customFormat="1" ht="24.75" customHeight="1" x14ac:dyDescent="0.3">
      <c r="A17" s="41">
        <v>11</v>
      </c>
      <c r="B17" s="76" t="s">
        <v>284</v>
      </c>
      <c r="C17" s="76"/>
      <c r="D17" s="76"/>
      <c r="E17" s="41">
        <v>4523</v>
      </c>
      <c r="F17" s="42" t="s">
        <v>737</v>
      </c>
      <c r="G17" s="41" t="s">
        <v>20</v>
      </c>
      <c r="H17" s="41" t="s">
        <v>21</v>
      </c>
      <c r="I17" s="43" t="s">
        <v>299</v>
      </c>
      <c r="J17" s="43" t="str">
        <f t="shared" ca="1" si="0"/>
        <v xml:space="preserve">11 Tahun, 0 Bulan </v>
      </c>
      <c r="K17" s="44" t="s">
        <v>314</v>
      </c>
      <c r="L17" s="44" t="s">
        <v>315</v>
      </c>
      <c r="M17" s="41" t="s">
        <v>33</v>
      </c>
      <c r="N17" s="41" t="s">
        <v>25</v>
      </c>
      <c r="O17" s="41"/>
      <c r="P17" s="41"/>
      <c r="Q17" s="41"/>
      <c r="R17" s="41"/>
      <c r="S17" s="41"/>
      <c r="T17" s="41"/>
      <c r="U17" s="65"/>
    </row>
    <row r="18" spans="1:252" s="29" customFormat="1" ht="24.95" customHeight="1" x14ac:dyDescent="0.3">
      <c r="A18" s="41">
        <v>12</v>
      </c>
      <c r="B18" s="76" t="s">
        <v>285</v>
      </c>
      <c r="C18" s="76"/>
      <c r="D18" s="76"/>
      <c r="E18" s="41">
        <v>4524</v>
      </c>
      <c r="F18" s="42" t="s">
        <v>738</v>
      </c>
      <c r="G18" s="41" t="s">
        <v>20</v>
      </c>
      <c r="H18" s="41" t="s">
        <v>21</v>
      </c>
      <c r="I18" s="43">
        <v>42460</v>
      </c>
      <c r="J18" s="43" t="str">
        <f t="shared" ca="1" si="0"/>
        <v xml:space="preserve">10 Tahun, 5 Bulan </v>
      </c>
      <c r="K18" s="44" t="s">
        <v>316</v>
      </c>
      <c r="L18" s="44" t="s">
        <v>317</v>
      </c>
      <c r="M18" s="41" t="s">
        <v>24</v>
      </c>
      <c r="N18" s="41" t="s">
        <v>25</v>
      </c>
      <c r="O18" s="41"/>
      <c r="P18" s="41"/>
      <c r="Q18" s="41"/>
      <c r="R18" s="41"/>
      <c r="S18" s="41"/>
      <c r="T18" s="41"/>
      <c r="U18" s="65"/>
    </row>
    <row r="19" spans="1:252" s="29" customFormat="1" ht="24.95" customHeight="1" x14ac:dyDescent="0.3">
      <c r="A19" s="41">
        <v>13</v>
      </c>
      <c r="B19" s="76" t="s">
        <v>286</v>
      </c>
      <c r="C19" s="76"/>
      <c r="D19" s="76"/>
      <c r="E19" s="41">
        <v>4525</v>
      </c>
      <c r="F19" s="42" t="s">
        <v>739</v>
      </c>
      <c r="G19" s="41" t="s">
        <v>20</v>
      </c>
      <c r="H19" s="41" t="s">
        <v>21</v>
      </c>
      <c r="I19" s="43">
        <v>42129</v>
      </c>
      <c r="J19" s="43" t="str">
        <f t="shared" ca="1" si="0"/>
        <v xml:space="preserve">11 Tahun, 4 Bulan </v>
      </c>
      <c r="K19" s="44" t="s">
        <v>318</v>
      </c>
      <c r="L19" s="44" t="s">
        <v>319</v>
      </c>
      <c r="M19" s="41" t="s">
        <v>48</v>
      </c>
      <c r="N19" s="41" t="s">
        <v>25</v>
      </c>
      <c r="O19" s="41"/>
      <c r="P19" s="41"/>
      <c r="Q19" s="41"/>
      <c r="R19" s="41"/>
      <c r="S19" s="41"/>
      <c r="T19" s="41"/>
      <c r="U19" s="65"/>
    </row>
    <row r="20" spans="1:252" s="29" customFormat="1" ht="24.95" customHeight="1" x14ac:dyDescent="0.3">
      <c r="A20" s="41">
        <v>14</v>
      </c>
      <c r="B20" s="76" t="s">
        <v>287</v>
      </c>
      <c r="C20" s="76"/>
      <c r="D20" s="76"/>
      <c r="E20" s="41">
        <v>4526</v>
      </c>
      <c r="F20" s="42" t="s">
        <v>740</v>
      </c>
      <c r="G20" s="41" t="s">
        <v>20</v>
      </c>
      <c r="H20" s="41" t="s">
        <v>21</v>
      </c>
      <c r="I20" s="43">
        <v>42383</v>
      </c>
      <c r="J20" s="43" t="str">
        <f t="shared" ca="1" si="0"/>
        <v xml:space="preserve">10 Tahun, 8 Bulan </v>
      </c>
      <c r="K20" s="44" t="s">
        <v>320</v>
      </c>
      <c r="L20" s="44" t="s">
        <v>43</v>
      </c>
      <c r="M20" s="41" t="s">
        <v>24</v>
      </c>
      <c r="N20" s="41" t="s">
        <v>25</v>
      </c>
      <c r="O20" s="41"/>
      <c r="P20" s="41"/>
      <c r="Q20" s="41"/>
      <c r="R20" s="41"/>
      <c r="S20" s="41"/>
      <c r="T20" s="41"/>
      <c r="U20" s="65"/>
    </row>
    <row r="21" spans="1:252" s="30" customFormat="1" ht="24.95" customHeight="1" x14ac:dyDescent="0.3">
      <c r="A21" s="41">
        <v>15</v>
      </c>
      <c r="B21" s="76" t="s">
        <v>288</v>
      </c>
      <c r="C21" s="76"/>
      <c r="D21" s="76"/>
      <c r="E21" s="41">
        <v>4527</v>
      </c>
      <c r="F21" s="42" t="s">
        <v>741</v>
      </c>
      <c r="G21" s="41" t="s">
        <v>36</v>
      </c>
      <c r="H21" s="41" t="s">
        <v>21</v>
      </c>
      <c r="I21" s="43">
        <v>42085</v>
      </c>
      <c r="J21" s="43" t="str">
        <f t="shared" ca="1" si="0"/>
        <v xml:space="preserve">11 Tahun, 6 Bulan </v>
      </c>
      <c r="K21" s="44" t="s">
        <v>321</v>
      </c>
      <c r="L21" s="44" t="s">
        <v>322</v>
      </c>
      <c r="M21" s="41" t="s">
        <v>48</v>
      </c>
      <c r="N21" s="41" t="s">
        <v>59</v>
      </c>
      <c r="O21" s="41"/>
      <c r="P21" s="41"/>
      <c r="Q21" s="41"/>
      <c r="R21" s="41"/>
      <c r="S21" s="41"/>
      <c r="T21" s="41"/>
      <c r="U21" s="66"/>
    </row>
    <row r="22" spans="1:252" s="29" customFormat="1" ht="24.95" customHeight="1" x14ac:dyDescent="0.3">
      <c r="A22" s="41">
        <v>16</v>
      </c>
      <c r="B22" s="76" t="s">
        <v>289</v>
      </c>
      <c r="C22" s="76"/>
      <c r="D22" s="76"/>
      <c r="E22" s="41">
        <v>4528</v>
      </c>
      <c r="F22" s="42" t="s">
        <v>742</v>
      </c>
      <c r="G22" s="41" t="s">
        <v>20</v>
      </c>
      <c r="H22" s="41" t="s">
        <v>21</v>
      </c>
      <c r="I22" s="43" t="s">
        <v>300</v>
      </c>
      <c r="J22" s="43" t="str">
        <f t="shared" ca="1" si="0"/>
        <v xml:space="preserve">11 Tahun, 4 Bulan </v>
      </c>
      <c r="K22" s="44" t="s">
        <v>323</v>
      </c>
      <c r="L22" s="44" t="s">
        <v>324</v>
      </c>
      <c r="M22" s="41" t="s">
        <v>33</v>
      </c>
      <c r="N22" s="41" t="s">
        <v>25</v>
      </c>
      <c r="O22" s="41"/>
      <c r="P22" s="41"/>
      <c r="Q22" s="41"/>
      <c r="R22" s="41"/>
      <c r="S22" s="41"/>
      <c r="T22" s="41"/>
      <c r="U22" s="65"/>
    </row>
    <row r="23" spans="1:252" s="30" customFormat="1" ht="24.75" customHeight="1" x14ac:dyDescent="0.3">
      <c r="A23" s="41">
        <v>17</v>
      </c>
      <c r="B23" s="76" t="s">
        <v>295</v>
      </c>
      <c r="C23" s="76"/>
      <c r="D23" s="76"/>
      <c r="E23" s="41">
        <v>4529</v>
      </c>
      <c r="F23" s="42" t="s">
        <v>743</v>
      </c>
      <c r="G23" s="41" t="s">
        <v>36</v>
      </c>
      <c r="H23" s="41" t="s">
        <v>21</v>
      </c>
      <c r="I23" s="43">
        <v>42304</v>
      </c>
      <c r="J23" s="43" t="str">
        <f t="shared" ca="1" si="0"/>
        <v xml:space="preserve">10 Tahun, 10 Bulan </v>
      </c>
      <c r="K23" s="44" t="s">
        <v>325</v>
      </c>
      <c r="L23" s="44" t="s">
        <v>326</v>
      </c>
      <c r="M23" s="41" t="s">
        <v>48</v>
      </c>
      <c r="N23" s="41" t="s">
        <v>25</v>
      </c>
      <c r="O23" s="41"/>
      <c r="P23" s="41"/>
      <c r="Q23" s="41"/>
      <c r="R23" s="41"/>
      <c r="S23" s="41"/>
      <c r="T23" s="41"/>
      <c r="U23" s="66"/>
    </row>
    <row r="24" spans="1:252" s="29" customFormat="1" ht="24.95" customHeight="1" x14ac:dyDescent="0.3">
      <c r="A24" s="41">
        <v>18</v>
      </c>
      <c r="B24" s="76" t="s">
        <v>290</v>
      </c>
      <c r="C24" s="76"/>
      <c r="D24" s="76"/>
      <c r="E24" s="41">
        <v>4531</v>
      </c>
      <c r="F24" s="42" t="s">
        <v>744</v>
      </c>
      <c r="G24" s="41" t="s">
        <v>20</v>
      </c>
      <c r="H24" s="41" t="s">
        <v>21</v>
      </c>
      <c r="I24" s="43">
        <v>42078</v>
      </c>
      <c r="J24" s="43" t="str">
        <f t="shared" ca="1" si="0"/>
        <v xml:space="preserve">11 Tahun, 6 Bulan </v>
      </c>
      <c r="K24" s="44" t="s">
        <v>327</v>
      </c>
      <c r="L24" s="44" t="s">
        <v>328</v>
      </c>
      <c r="M24" s="41"/>
      <c r="N24" s="41"/>
      <c r="O24" s="41"/>
      <c r="P24" s="41"/>
      <c r="Q24" s="41"/>
      <c r="R24" s="41"/>
      <c r="S24" s="41"/>
      <c r="T24" s="41"/>
      <c r="U24" s="65"/>
    </row>
    <row r="25" spans="1:252" s="29" customFormat="1" ht="24.95" customHeight="1" x14ac:dyDescent="0.3">
      <c r="A25" s="41">
        <v>19</v>
      </c>
      <c r="B25" s="76" t="s">
        <v>291</v>
      </c>
      <c r="C25" s="76"/>
      <c r="D25" s="76"/>
      <c r="E25" s="41">
        <v>4532</v>
      </c>
      <c r="F25" s="42" t="s">
        <v>745</v>
      </c>
      <c r="G25" s="41" t="s">
        <v>20</v>
      </c>
      <c r="H25" s="41" t="s">
        <v>21</v>
      </c>
      <c r="I25" s="43">
        <v>42042</v>
      </c>
      <c r="J25" s="43" t="str">
        <f t="shared" ca="1" si="0"/>
        <v xml:space="preserve">11 Tahun, 7 Bulan </v>
      </c>
      <c r="K25" s="44" t="s">
        <v>329</v>
      </c>
      <c r="L25" s="44" t="s">
        <v>330</v>
      </c>
      <c r="M25" s="41" t="s">
        <v>48</v>
      </c>
      <c r="N25" s="41" t="s">
        <v>48</v>
      </c>
      <c r="O25" s="41"/>
      <c r="P25" s="41"/>
      <c r="Q25" s="41"/>
      <c r="R25" s="41"/>
      <c r="S25" s="41"/>
      <c r="T25" s="41"/>
      <c r="U25" s="65"/>
    </row>
    <row r="26" spans="1:252" s="30" customFormat="1" ht="24.95" customHeight="1" x14ac:dyDescent="0.3">
      <c r="A26" s="41">
        <v>20</v>
      </c>
      <c r="B26" s="76" t="s">
        <v>292</v>
      </c>
      <c r="C26" s="76"/>
      <c r="D26" s="76"/>
      <c r="E26" s="41">
        <v>4534</v>
      </c>
      <c r="F26" s="42" t="s">
        <v>746</v>
      </c>
      <c r="G26" s="41" t="s">
        <v>36</v>
      </c>
      <c r="H26" s="41" t="s">
        <v>21</v>
      </c>
      <c r="I26" s="43">
        <v>42404</v>
      </c>
      <c r="J26" s="43" t="str">
        <f t="shared" ca="1" si="0"/>
        <v xml:space="preserve">10 Tahun, 7 Bulan </v>
      </c>
      <c r="K26" s="44" t="s">
        <v>331</v>
      </c>
      <c r="L26" s="44" t="s">
        <v>332</v>
      </c>
      <c r="M26" s="41" t="s">
        <v>33</v>
      </c>
      <c r="N26" s="41" t="s">
        <v>25</v>
      </c>
      <c r="O26" s="41"/>
      <c r="P26" s="41"/>
      <c r="Q26" s="41"/>
      <c r="R26" s="41"/>
      <c r="S26" s="41"/>
      <c r="T26" s="41"/>
      <c r="U26" s="66"/>
    </row>
    <row r="27" spans="1:252" s="30" customFormat="1" ht="24.95" customHeight="1" x14ac:dyDescent="0.3">
      <c r="A27" s="41">
        <v>21</v>
      </c>
      <c r="B27" s="76" t="s">
        <v>293</v>
      </c>
      <c r="C27" s="76"/>
      <c r="D27" s="76"/>
      <c r="E27" s="41">
        <v>4535</v>
      </c>
      <c r="F27" s="42" t="s">
        <v>747</v>
      </c>
      <c r="G27" s="41" t="s">
        <v>36</v>
      </c>
      <c r="H27" s="41" t="s">
        <v>21</v>
      </c>
      <c r="I27" s="43">
        <v>42231</v>
      </c>
      <c r="J27" s="43" t="str">
        <f t="shared" ca="1" si="0"/>
        <v xml:space="preserve">11 Tahun, 1 Bulan </v>
      </c>
      <c r="K27" s="44" t="s">
        <v>202</v>
      </c>
      <c r="L27" s="44" t="s">
        <v>333</v>
      </c>
      <c r="M27" s="41" t="s">
        <v>33</v>
      </c>
      <c r="N27" s="41" t="s">
        <v>25</v>
      </c>
      <c r="O27" s="41"/>
      <c r="P27" s="41"/>
      <c r="Q27" s="41"/>
      <c r="R27" s="41"/>
      <c r="S27" s="41"/>
      <c r="T27" s="41"/>
      <c r="U27" s="66"/>
    </row>
    <row r="28" spans="1:252" s="30" customFormat="1" ht="24.75" customHeight="1" x14ac:dyDescent="0.3">
      <c r="A28" s="41">
        <v>22</v>
      </c>
      <c r="B28" s="77" t="s">
        <v>294</v>
      </c>
      <c r="C28" s="77"/>
      <c r="D28" s="77"/>
      <c r="E28" s="49">
        <v>4536</v>
      </c>
      <c r="F28" s="54" t="s">
        <v>748</v>
      </c>
      <c r="G28" s="49" t="s">
        <v>36</v>
      </c>
      <c r="H28" s="49" t="s">
        <v>21</v>
      </c>
      <c r="I28" s="55" t="s">
        <v>301</v>
      </c>
      <c r="J28" s="43" t="str">
        <f t="shared" ca="1" si="0"/>
        <v xml:space="preserve">10 Tahun, 11 Bulan </v>
      </c>
      <c r="K28" s="56" t="s">
        <v>334</v>
      </c>
      <c r="L28" s="56" t="s">
        <v>335</v>
      </c>
      <c r="M28" s="49" t="s">
        <v>48</v>
      </c>
      <c r="N28" s="49" t="s">
        <v>25</v>
      </c>
      <c r="O28" s="49"/>
      <c r="P28" s="49"/>
      <c r="Q28" s="49"/>
      <c r="R28" s="49"/>
      <c r="S28" s="49"/>
      <c r="T28" s="49"/>
      <c r="U28" s="66"/>
    </row>
    <row r="29" spans="1:252" s="45" customFormat="1" ht="24.75" customHeight="1" x14ac:dyDescent="0.3">
      <c r="A29" s="41">
        <v>23</v>
      </c>
      <c r="B29" s="76" t="s">
        <v>336</v>
      </c>
      <c r="C29" s="76"/>
      <c r="D29" s="76"/>
      <c r="E29" s="41">
        <v>4539</v>
      </c>
      <c r="F29" s="42" t="s">
        <v>749</v>
      </c>
      <c r="G29" s="41" t="s">
        <v>20</v>
      </c>
      <c r="H29" s="41" t="s">
        <v>237</v>
      </c>
      <c r="I29" s="43">
        <v>42252</v>
      </c>
      <c r="J29" s="43" t="str">
        <f t="shared" ca="1" si="0"/>
        <v xml:space="preserve">11 Tahun, 0 Bulan </v>
      </c>
      <c r="K29" s="44"/>
      <c r="L29" s="44" t="s">
        <v>341</v>
      </c>
      <c r="M29" s="41"/>
      <c r="N29" s="41"/>
      <c r="O29" s="41"/>
      <c r="P29" s="41"/>
      <c r="Q29" s="41"/>
      <c r="R29" s="41"/>
      <c r="S29" s="41"/>
      <c r="T29" s="41"/>
      <c r="U29" s="67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</row>
    <row r="30" spans="1:252" s="45" customFormat="1" ht="24.75" customHeight="1" x14ac:dyDescent="0.3">
      <c r="A30" s="41">
        <v>24</v>
      </c>
      <c r="B30" s="76" t="s">
        <v>456</v>
      </c>
      <c r="C30" s="76"/>
      <c r="D30" s="76"/>
      <c r="E30" s="41">
        <v>4587</v>
      </c>
      <c r="F30" s="42" t="s">
        <v>750</v>
      </c>
      <c r="G30" s="41" t="s">
        <v>36</v>
      </c>
      <c r="H30" s="41" t="s">
        <v>457</v>
      </c>
      <c r="I30" s="43">
        <v>42677</v>
      </c>
      <c r="J30" s="43" t="str">
        <f t="shared" ca="1" si="0"/>
        <v xml:space="preserve">9 Tahun, 10 Bulan </v>
      </c>
      <c r="K30" s="44" t="s">
        <v>458</v>
      </c>
      <c r="L30" s="44" t="s">
        <v>459</v>
      </c>
      <c r="M30" s="41" t="s">
        <v>24</v>
      </c>
      <c r="N30" s="41" t="s">
        <v>24</v>
      </c>
      <c r="O30" s="41"/>
      <c r="P30" s="41"/>
      <c r="Q30" s="41"/>
      <c r="R30" s="41"/>
      <c r="S30" s="41"/>
      <c r="T30" s="41"/>
      <c r="U30" s="67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</row>
    <row r="31" spans="1:252" x14ac:dyDescent="0.3">
      <c r="A31" s="1"/>
      <c r="B31" s="2"/>
      <c r="C31" s="1"/>
      <c r="D31" s="1"/>
      <c r="G31" s="3"/>
      <c r="H31" s="3"/>
      <c r="I31" s="4"/>
    </row>
    <row r="32" spans="1:252" x14ac:dyDescent="0.3">
      <c r="A32" s="6"/>
      <c r="B32" s="6"/>
      <c r="C32" s="7" t="s">
        <v>212</v>
      </c>
      <c r="D32" s="7"/>
      <c r="E32" s="7">
        <f>COUNTIF(G7:G30,"L")</f>
        <v>14</v>
      </c>
      <c r="G32" s="8"/>
      <c r="H32" s="8"/>
      <c r="I32" s="7"/>
      <c r="J32" s="7"/>
      <c r="K32" s="22"/>
      <c r="L32" s="22"/>
      <c r="M32" s="22"/>
      <c r="N32" s="22"/>
      <c r="O32" s="6"/>
      <c r="P32" s="5"/>
      <c r="Q32" s="5"/>
      <c r="R32" s="5"/>
    </row>
    <row r="33" spans="1:18" x14ac:dyDescent="0.3">
      <c r="A33" s="6"/>
      <c r="B33" s="6"/>
      <c r="C33" s="7" t="s">
        <v>213</v>
      </c>
      <c r="D33" s="7"/>
      <c r="E33" s="7">
        <f>COUNTIF(G7:G30,"P")</f>
        <v>10</v>
      </c>
      <c r="G33" s="8"/>
      <c r="H33" s="8"/>
      <c r="I33" s="7"/>
      <c r="J33" s="7"/>
      <c r="K33" s="22"/>
      <c r="L33" s="22"/>
      <c r="M33" s="22"/>
      <c r="N33" s="22"/>
      <c r="O33" s="6"/>
      <c r="P33" s="5"/>
      <c r="Q33" s="5"/>
      <c r="R33" s="5"/>
    </row>
    <row r="34" spans="1:18" x14ac:dyDescent="0.3">
      <c r="A34" s="6"/>
      <c r="B34" s="6" t="s">
        <v>256</v>
      </c>
      <c r="C34" s="26" t="s">
        <v>214</v>
      </c>
      <c r="D34" s="7"/>
      <c r="E34" s="26">
        <f>SUM(E32:E33)</f>
        <v>24</v>
      </c>
      <c r="G34" s="8"/>
      <c r="H34" s="8"/>
      <c r="I34" s="7"/>
      <c r="J34" s="7"/>
      <c r="K34" s="22"/>
      <c r="L34" s="22"/>
      <c r="M34" s="22"/>
      <c r="N34" s="22"/>
      <c r="O34" s="6"/>
      <c r="P34" s="5"/>
      <c r="Q34" s="5"/>
      <c r="R34" s="5"/>
    </row>
    <row r="35" spans="1:18" x14ac:dyDescent="0.3">
      <c r="A35" s="6"/>
      <c r="B35" s="9" t="s">
        <v>215</v>
      </c>
      <c r="E35" s="9"/>
      <c r="F35" s="16"/>
      <c r="G35" s="11"/>
      <c r="H35" s="11"/>
      <c r="I35" s="12"/>
      <c r="J35" s="6"/>
      <c r="K35" s="24"/>
      <c r="L35" s="22"/>
      <c r="M35" s="24" t="s">
        <v>920</v>
      </c>
      <c r="N35" s="22"/>
      <c r="O35" s="6"/>
      <c r="P35" s="5"/>
      <c r="Q35" s="5"/>
      <c r="R35" s="5"/>
    </row>
    <row r="36" spans="1:18" x14ac:dyDescent="0.3">
      <c r="A36" s="6"/>
      <c r="B36" s="9" t="s">
        <v>216</v>
      </c>
      <c r="E36" s="9"/>
      <c r="F36" s="16"/>
      <c r="G36" s="11"/>
      <c r="H36" s="11"/>
      <c r="I36" s="12"/>
      <c r="J36" s="6"/>
      <c r="K36" s="24"/>
      <c r="L36" s="22"/>
      <c r="M36" s="24" t="s">
        <v>262</v>
      </c>
      <c r="N36" s="22"/>
      <c r="O36" s="6"/>
      <c r="P36" s="5"/>
      <c r="Q36" s="5"/>
      <c r="R36" s="5"/>
    </row>
    <row r="37" spans="1:18" x14ac:dyDescent="0.3">
      <c r="A37" s="6"/>
      <c r="B37" s="9"/>
      <c r="E37" s="9"/>
      <c r="F37" s="16"/>
      <c r="G37" s="11"/>
      <c r="H37" s="11"/>
      <c r="I37" s="12"/>
      <c r="J37" s="6"/>
      <c r="K37" s="24"/>
      <c r="L37" s="22"/>
      <c r="M37" s="24"/>
      <c r="N37" s="22"/>
      <c r="O37" s="6"/>
      <c r="P37" s="5"/>
      <c r="Q37" s="5"/>
      <c r="R37" s="5"/>
    </row>
    <row r="38" spans="1:18" x14ac:dyDescent="0.3">
      <c r="A38" s="6"/>
      <c r="B38" s="9"/>
      <c r="E38" s="9"/>
      <c r="F38" s="16"/>
      <c r="G38" s="11"/>
      <c r="H38" s="11"/>
      <c r="I38" s="12"/>
      <c r="J38" s="6"/>
      <c r="K38" s="24"/>
      <c r="L38" s="22"/>
      <c r="M38" s="24"/>
      <c r="N38" s="22"/>
      <c r="O38" s="6"/>
      <c r="P38" s="5"/>
      <c r="Q38" s="5"/>
      <c r="R38" s="5"/>
    </row>
    <row r="39" spans="1:18" x14ac:dyDescent="0.3">
      <c r="A39" s="6"/>
      <c r="B39" s="9"/>
      <c r="E39" s="9"/>
      <c r="F39" s="16"/>
      <c r="G39" s="11"/>
      <c r="H39" s="11"/>
      <c r="I39" s="12"/>
      <c r="J39" s="6"/>
      <c r="K39" s="24"/>
      <c r="L39" s="22"/>
      <c r="M39" s="24"/>
      <c r="N39" s="22"/>
      <c r="O39" s="6"/>
      <c r="P39" s="5"/>
      <c r="Q39" s="5"/>
      <c r="R39" s="5"/>
    </row>
    <row r="40" spans="1:18" x14ac:dyDescent="0.3">
      <c r="A40" s="6"/>
      <c r="B40" s="13" t="s">
        <v>217</v>
      </c>
      <c r="E40" s="9"/>
      <c r="F40" s="16"/>
      <c r="G40" s="14"/>
      <c r="H40" s="14"/>
      <c r="I40" s="15"/>
      <c r="J40" s="6"/>
      <c r="K40" s="24"/>
      <c r="L40" s="22"/>
      <c r="M40" s="6"/>
      <c r="N40" s="25" t="s">
        <v>726</v>
      </c>
      <c r="O40" s="22"/>
      <c r="P40" s="6"/>
      <c r="Q40" s="5"/>
      <c r="R40" s="5"/>
    </row>
    <row r="41" spans="1:18" x14ac:dyDescent="0.3">
      <c r="A41" s="6"/>
      <c r="B41" s="9" t="s">
        <v>218</v>
      </c>
      <c r="E41" s="9"/>
      <c r="F41" s="16"/>
      <c r="G41" s="11"/>
      <c r="H41" s="11"/>
      <c r="I41" s="16"/>
      <c r="J41" s="6"/>
      <c r="K41" s="24"/>
      <c r="L41" s="22"/>
      <c r="M41" s="6"/>
      <c r="N41" s="24" t="s">
        <v>921</v>
      </c>
      <c r="O41" s="22"/>
      <c r="P41" s="6"/>
      <c r="Q41" s="5"/>
      <c r="R41" s="5"/>
    </row>
  </sheetData>
  <mergeCells count="20">
    <mergeCell ref="A1:R1"/>
    <mergeCell ref="A2:R2"/>
    <mergeCell ref="A3:R3"/>
    <mergeCell ref="A5:A6"/>
    <mergeCell ref="B5:B6"/>
    <mergeCell ref="E5:E6"/>
    <mergeCell ref="F5:F6"/>
    <mergeCell ref="G5:G6"/>
    <mergeCell ref="H5:H6"/>
    <mergeCell ref="I5:I6"/>
    <mergeCell ref="R5:R6"/>
    <mergeCell ref="M5:N5"/>
    <mergeCell ref="O5:P5"/>
    <mergeCell ref="C5:C6"/>
    <mergeCell ref="D5:D6"/>
    <mergeCell ref="Q5:Q6"/>
    <mergeCell ref="S5:T5"/>
    <mergeCell ref="J5:J6"/>
    <mergeCell ref="K5:K6"/>
    <mergeCell ref="L5:L6"/>
  </mergeCells>
  <printOptions horizontalCentered="1"/>
  <pageMargins left="0.25" right="0.25" top="0.25" bottom="0.25" header="0.3" footer="0.3"/>
  <pageSetup paperSize="5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67"/>
  <sheetViews>
    <sheetView tabSelected="1" view="pageBreakPreview" zoomScale="55" zoomScaleNormal="40" zoomScaleSheetLayoutView="55" workbookViewId="0">
      <selection activeCell="L26" sqref="L26"/>
    </sheetView>
  </sheetViews>
  <sheetFormatPr defaultColWidth="9.140625" defaultRowHeight="18.75" x14ac:dyDescent="0.3"/>
  <cols>
    <col min="1" max="1" width="5.140625" style="5" customWidth="1"/>
    <col min="2" max="2" width="43.42578125" style="5" bestFit="1" customWidth="1"/>
    <col min="3" max="3" width="8.85546875" style="10" customWidth="1"/>
    <col min="4" max="4" width="14.5703125" style="10" bestFit="1" customWidth="1"/>
    <col min="5" max="5" width="6" style="1" bestFit="1" customWidth="1"/>
    <col min="6" max="6" width="17.28515625" style="10" customWidth="1"/>
    <col min="7" max="7" width="24.42578125" style="28" bestFit="1" customWidth="1"/>
    <col min="8" max="8" width="21.7109375" style="28" bestFit="1" customWidth="1"/>
    <col min="9" max="9" width="31.140625" style="5" bestFit="1" customWidth="1"/>
    <col min="10" max="10" width="29.85546875" style="5" customWidth="1"/>
    <col min="11" max="11" width="26.7109375" style="5" bestFit="1" customWidth="1"/>
    <col min="12" max="12" width="26.85546875" style="5" customWidth="1"/>
    <col min="13" max="13" width="9.140625" style="1" customWidth="1"/>
    <col min="14" max="14" width="9.42578125" style="1" customWidth="1"/>
    <col min="15" max="15" width="13.42578125" style="1" customWidth="1"/>
    <col min="16" max="16" width="15" style="1" customWidth="1"/>
    <col min="17" max="17" width="8.5703125" style="1" bestFit="1" customWidth="1"/>
    <col min="18" max="18" width="9.28515625" style="1" customWidth="1"/>
    <col min="19" max="16384" width="9.140625" style="5"/>
  </cols>
  <sheetData>
    <row r="1" spans="1:19" ht="21" x14ac:dyDescent="0.35">
      <c r="A1" s="108" t="s">
        <v>1019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9" ht="21" x14ac:dyDescent="0.3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9" ht="21" x14ac:dyDescent="0.35">
      <c r="A3" s="108" t="s">
        <v>666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9" s="23" customFormat="1" ht="24.95" customHeight="1" x14ac:dyDescent="0.25">
      <c r="A5" s="110" t="s">
        <v>1</v>
      </c>
      <c r="B5" s="110" t="s">
        <v>2</v>
      </c>
      <c r="C5" s="110" t="s">
        <v>3</v>
      </c>
      <c r="D5" s="110" t="s">
        <v>4</v>
      </c>
      <c r="E5" s="110" t="s">
        <v>5</v>
      </c>
      <c r="F5" s="110" t="s">
        <v>6</v>
      </c>
      <c r="G5" s="117" t="s">
        <v>7</v>
      </c>
      <c r="H5" s="118" t="s">
        <v>8</v>
      </c>
      <c r="I5" s="110" t="s">
        <v>9</v>
      </c>
      <c r="J5" s="110" t="s">
        <v>10</v>
      </c>
      <c r="K5" s="110" t="s">
        <v>11</v>
      </c>
      <c r="L5" s="110"/>
      <c r="M5" s="110" t="s">
        <v>12</v>
      </c>
      <c r="N5" s="110"/>
      <c r="O5" s="110" t="s">
        <v>13</v>
      </c>
      <c r="P5" s="110" t="s">
        <v>14</v>
      </c>
      <c r="Q5" s="110" t="s">
        <v>15</v>
      </c>
      <c r="R5" s="110"/>
    </row>
    <row r="6" spans="1:19" s="23" customFormat="1" ht="39.75" customHeight="1" x14ac:dyDescent="0.25">
      <c r="A6" s="110"/>
      <c r="B6" s="110"/>
      <c r="C6" s="110"/>
      <c r="D6" s="110"/>
      <c r="E6" s="110"/>
      <c r="F6" s="110"/>
      <c r="G6" s="117"/>
      <c r="H6" s="119"/>
      <c r="I6" s="110"/>
      <c r="J6" s="110"/>
      <c r="K6" s="27" t="s">
        <v>9</v>
      </c>
      <c r="L6" s="27" t="s">
        <v>10</v>
      </c>
      <c r="M6" s="27" t="s">
        <v>9</v>
      </c>
      <c r="N6" s="27" t="s">
        <v>10</v>
      </c>
      <c r="O6" s="110"/>
      <c r="P6" s="110"/>
      <c r="Q6" s="27" t="s">
        <v>16</v>
      </c>
      <c r="R6" s="27" t="s">
        <v>17</v>
      </c>
    </row>
    <row r="7" spans="1:19" s="30" customFormat="1" ht="24.95" customHeight="1" x14ac:dyDescent="0.25">
      <c r="A7" s="17">
        <v>1</v>
      </c>
      <c r="B7" s="33" t="s">
        <v>231</v>
      </c>
      <c r="C7" s="17">
        <v>4426</v>
      </c>
      <c r="D7" s="34" t="s">
        <v>232</v>
      </c>
      <c r="E7" s="17" t="s">
        <v>36</v>
      </c>
      <c r="F7" s="17" t="s">
        <v>21</v>
      </c>
      <c r="G7" s="35">
        <v>41677</v>
      </c>
      <c r="H7" s="35" t="str">
        <f ca="1">DATEDIF(G7,TODAY(),"Y")&amp;" Tahun, "&amp;DATEDIF(G7,TODAY(),"YM")&amp;" Bulan "</f>
        <v xml:space="preserve">12 Tahun, 7 Bulan </v>
      </c>
      <c r="I7" s="33" t="s">
        <v>233</v>
      </c>
      <c r="J7" s="33" t="s">
        <v>234</v>
      </c>
      <c r="K7" s="33" t="s">
        <v>224</v>
      </c>
      <c r="L7" s="33" t="s">
        <v>25</v>
      </c>
      <c r="M7" s="17"/>
      <c r="N7" s="17" t="s">
        <v>39</v>
      </c>
      <c r="O7" s="17"/>
      <c r="P7" s="17"/>
      <c r="Q7" s="17"/>
      <c r="R7" s="17"/>
      <c r="S7" s="66"/>
    </row>
    <row r="8" spans="1:19" s="29" customFormat="1" ht="24.95" customHeight="1" x14ac:dyDescent="0.25">
      <c r="A8" s="17">
        <v>2</v>
      </c>
      <c r="B8" s="33" t="s">
        <v>241</v>
      </c>
      <c r="C8" s="17">
        <v>4440</v>
      </c>
      <c r="D8" s="34" t="s">
        <v>240</v>
      </c>
      <c r="E8" s="17" t="s">
        <v>20</v>
      </c>
      <c r="F8" s="17" t="s">
        <v>21</v>
      </c>
      <c r="G8" s="35">
        <v>41440</v>
      </c>
      <c r="H8" s="35" t="str">
        <f t="shared" ref="H8" ca="1" si="0">DATEDIF(G8,TODAY(),"Y")&amp;" Tahun, "&amp;DATEDIF(G8,TODAY(),"YM")&amp;" Bulan "</f>
        <v xml:space="preserve">13 Tahun, 3 Bulan </v>
      </c>
      <c r="I8" s="33" t="s">
        <v>242</v>
      </c>
      <c r="J8" s="33" t="s">
        <v>243</v>
      </c>
      <c r="K8" s="33" t="s">
        <v>33</v>
      </c>
      <c r="L8" s="33" t="s">
        <v>25</v>
      </c>
      <c r="M8" s="17" t="s">
        <v>27</v>
      </c>
      <c r="N8" s="17" t="s">
        <v>27</v>
      </c>
      <c r="O8" s="17"/>
      <c r="P8" s="17"/>
      <c r="Q8" s="17"/>
      <c r="R8" s="17"/>
      <c r="S8" s="65"/>
    </row>
    <row r="9" spans="1:19" s="29" customFormat="1" ht="24.95" customHeight="1" x14ac:dyDescent="0.25">
      <c r="A9" s="17">
        <v>3</v>
      </c>
      <c r="B9" s="33" t="s">
        <v>18</v>
      </c>
      <c r="C9" s="17">
        <v>4466</v>
      </c>
      <c r="D9" s="34" t="s">
        <v>19</v>
      </c>
      <c r="E9" s="17" t="s">
        <v>20</v>
      </c>
      <c r="F9" s="17" t="s">
        <v>21</v>
      </c>
      <c r="G9" s="35">
        <v>42107</v>
      </c>
      <c r="H9" s="35" t="str">
        <f ca="1">DATEDIF(G9,TODAY(),"Y")&amp;" Tahun, "&amp;DATEDIF(G9,TODAY(),"YM")&amp;" Bulan "</f>
        <v xml:space="preserve">11 Tahun, 5 Bulan </v>
      </c>
      <c r="I9" s="33" t="s">
        <v>22</v>
      </c>
      <c r="J9" s="33" t="s">
        <v>23</v>
      </c>
      <c r="K9" s="33" t="s">
        <v>24</v>
      </c>
      <c r="L9" s="33" t="s">
        <v>25</v>
      </c>
      <c r="M9" s="17" t="s">
        <v>26</v>
      </c>
      <c r="N9" s="17" t="s">
        <v>27</v>
      </c>
      <c r="O9" s="17">
        <v>7</v>
      </c>
      <c r="P9" s="17">
        <v>6</v>
      </c>
      <c r="Q9" s="17">
        <v>2</v>
      </c>
      <c r="R9" s="17">
        <v>10</v>
      </c>
      <c r="S9" s="65"/>
    </row>
    <row r="10" spans="1:19" s="29" customFormat="1" ht="24.95" customHeight="1" x14ac:dyDescent="0.25">
      <c r="A10" s="17">
        <v>4</v>
      </c>
      <c r="B10" s="33" t="s">
        <v>28</v>
      </c>
      <c r="C10" s="17">
        <v>4410</v>
      </c>
      <c r="D10" s="34" t="s">
        <v>29</v>
      </c>
      <c r="E10" s="17" t="s">
        <v>20</v>
      </c>
      <c r="F10" s="17" t="s">
        <v>21</v>
      </c>
      <c r="G10" s="35">
        <v>41612</v>
      </c>
      <c r="H10" s="35" t="str">
        <f t="shared" ref="H10:H55" ca="1" si="1">DATEDIF(G10,TODAY(),"Y")&amp;" Tahun, "&amp;DATEDIF(G10,TODAY(),"YM")&amp;" Bulan "</f>
        <v xml:space="preserve">12 Tahun, 9 Bulan </v>
      </c>
      <c r="I10" s="33" t="s">
        <v>30</v>
      </c>
      <c r="J10" s="33" t="s">
        <v>31</v>
      </c>
      <c r="K10" s="33" t="s">
        <v>32</v>
      </c>
      <c r="L10" s="33" t="s">
        <v>33</v>
      </c>
      <c r="M10" s="17" t="s">
        <v>27</v>
      </c>
      <c r="N10" s="17" t="s">
        <v>27</v>
      </c>
      <c r="O10" s="17">
        <v>2</v>
      </c>
      <c r="P10" s="17">
        <v>1</v>
      </c>
      <c r="Q10" s="17"/>
      <c r="R10" s="17"/>
      <c r="S10" s="65"/>
    </row>
    <row r="11" spans="1:19" s="30" customFormat="1" ht="24.95" customHeight="1" x14ac:dyDescent="0.25">
      <c r="A11" s="17">
        <v>5</v>
      </c>
      <c r="B11" s="33" t="s">
        <v>34</v>
      </c>
      <c r="C11" s="17">
        <v>4467</v>
      </c>
      <c r="D11" s="34" t="s">
        <v>35</v>
      </c>
      <c r="E11" s="17" t="s">
        <v>36</v>
      </c>
      <c r="F11" s="17" t="s">
        <v>21</v>
      </c>
      <c r="G11" s="35">
        <v>41888</v>
      </c>
      <c r="H11" s="35" t="str">
        <f t="shared" ca="1" si="1"/>
        <v xml:space="preserve">12 Tahun, 0 Bulan </v>
      </c>
      <c r="I11" s="33" t="s">
        <v>37</v>
      </c>
      <c r="J11" s="33" t="s">
        <v>38</v>
      </c>
      <c r="K11" s="33" t="s">
        <v>24</v>
      </c>
      <c r="L11" s="33" t="s">
        <v>25</v>
      </c>
      <c r="M11" s="17" t="s">
        <v>26</v>
      </c>
      <c r="N11" s="17" t="s">
        <v>39</v>
      </c>
      <c r="O11" s="17">
        <v>2</v>
      </c>
      <c r="P11" s="17">
        <v>1</v>
      </c>
      <c r="Q11" s="17">
        <v>2</v>
      </c>
      <c r="R11" s="17">
        <v>9</v>
      </c>
      <c r="S11" s="66"/>
    </row>
    <row r="12" spans="1:19" s="30" customFormat="1" ht="24.95" customHeight="1" x14ac:dyDescent="0.25">
      <c r="A12" s="17">
        <v>6</v>
      </c>
      <c r="B12" s="33" t="s">
        <v>40</v>
      </c>
      <c r="C12" s="17">
        <v>4468</v>
      </c>
      <c r="D12" s="34" t="s">
        <v>41</v>
      </c>
      <c r="E12" s="17" t="s">
        <v>36</v>
      </c>
      <c r="F12" s="17" t="s">
        <v>21</v>
      </c>
      <c r="G12" s="35">
        <v>41814</v>
      </c>
      <c r="H12" s="35" t="str">
        <f t="shared" ca="1" si="1"/>
        <v xml:space="preserve">12 Tahun, 2 Bulan </v>
      </c>
      <c r="I12" s="33" t="s">
        <v>42</v>
      </c>
      <c r="J12" s="33" t="s">
        <v>43</v>
      </c>
      <c r="K12" s="33" t="s">
        <v>24</v>
      </c>
      <c r="L12" s="33" t="s">
        <v>25</v>
      </c>
      <c r="M12" s="17" t="s">
        <v>27</v>
      </c>
      <c r="N12" s="17" t="s">
        <v>27</v>
      </c>
      <c r="O12" s="17">
        <v>3</v>
      </c>
      <c r="P12" s="17">
        <v>2</v>
      </c>
      <c r="Q12" s="17">
        <v>2</v>
      </c>
      <c r="R12" s="17">
        <v>9</v>
      </c>
      <c r="S12" s="66"/>
    </row>
    <row r="13" spans="1:19" s="29" customFormat="1" ht="24.95" customHeight="1" x14ac:dyDescent="0.25">
      <c r="A13" s="17">
        <v>7</v>
      </c>
      <c r="B13" s="33" t="s">
        <v>44</v>
      </c>
      <c r="C13" s="17">
        <v>4469</v>
      </c>
      <c r="D13" s="34" t="s">
        <v>45</v>
      </c>
      <c r="E13" s="17" t="s">
        <v>20</v>
      </c>
      <c r="F13" s="17" t="s">
        <v>21</v>
      </c>
      <c r="G13" s="35">
        <v>41941</v>
      </c>
      <c r="H13" s="35" t="str">
        <f t="shared" ca="1" si="1"/>
        <v xml:space="preserve">11 Tahun, 10 Bulan </v>
      </c>
      <c r="I13" s="33" t="s">
        <v>46</v>
      </c>
      <c r="J13" s="33" t="s">
        <v>47</v>
      </c>
      <c r="K13" s="33" t="s">
        <v>48</v>
      </c>
      <c r="L13" s="33" t="s">
        <v>25</v>
      </c>
      <c r="M13" s="17" t="s">
        <v>27</v>
      </c>
      <c r="N13" s="17" t="s">
        <v>27</v>
      </c>
      <c r="O13" s="17">
        <v>2</v>
      </c>
      <c r="P13" s="17">
        <v>1</v>
      </c>
      <c r="Q13" s="17">
        <v>2</v>
      </c>
      <c r="R13" s="17">
        <v>10</v>
      </c>
      <c r="S13" s="65"/>
    </row>
    <row r="14" spans="1:19" s="30" customFormat="1" ht="24.95" customHeight="1" x14ac:dyDescent="0.25">
      <c r="A14" s="17">
        <v>8</v>
      </c>
      <c r="B14" s="33" t="s">
        <v>49</v>
      </c>
      <c r="C14" s="17">
        <v>4470</v>
      </c>
      <c r="D14" s="34" t="s">
        <v>50</v>
      </c>
      <c r="E14" s="17" t="s">
        <v>36</v>
      </c>
      <c r="F14" s="17" t="s">
        <v>21</v>
      </c>
      <c r="G14" s="35">
        <v>41968</v>
      </c>
      <c r="H14" s="35" t="str">
        <f t="shared" ca="1" si="1"/>
        <v xml:space="preserve">11 Tahun, 9 Bulan </v>
      </c>
      <c r="I14" s="33" t="s">
        <v>51</v>
      </c>
      <c r="J14" s="33" t="s">
        <v>52</v>
      </c>
      <c r="K14" s="33" t="s">
        <v>48</v>
      </c>
      <c r="L14" s="33" t="s">
        <v>25</v>
      </c>
      <c r="M14" s="17" t="s">
        <v>39</v>
      </c>
      <c r="N14" s="17" t="s">
        <v>26</v>
      </c>
      <c r="O14" s="17">
        <v>1</v>
      </c>
      <c r="P14" s="17" t="s">
        <v>53</v>
      </c>
      <c r="Q14" s="17">
        <v>1</v>
      </c>
      <c r="R14" s="17">
        <v>11</v>
      </c>
      <c r="S14" s="66"/>
    </row>
    <row r="15" spans="1:19" s="30" customFormat="1" ht="24.95" customHeight="1" x14ac:dyDescent="0.25">
      <c r="A15" s="17">
        <v>9</v>
      </c>
      <c r="B15" s="33" t="s">
        <v>54</v>
      </c>
      <c r="C15" s="17">
        <v>4473</v>
      </c>
      <c r="D15" s="34" t="s">
        <v>55</v>
      </c>
      <c r="E15" s="17" t="s">
        <v>36</v>
      </c>
      <c r="F15" s="17" t="s">
        <v>21</v>
      </c>
      <c r="G15" s="35">
        <v>42095</v>
      </c>
      <c r="H15" s="35" t="str">
        <f t="shared" ca="1" si="1"/>
        <v xml:space="preserve">11 Tahun, 5 Bulan </v>
      </c>
      <c r="I15" s="33" t="s">
        <v>56</v>
      </c>
      <c r="J15" s="33" t="s">
        <v>57</v>
      </c>
      <c r="K15" s="33" t="s">
        <v>33</v>
      </c>
      <c r="L15" s="33" t="s">
        <v>25</v>
      </c>
      <c r="M15" s="17" t="s">
        <v>27</v>
      </c>
      <c r="N15" s="17" t="s">
        <v>27</v>
      </c>
      <c r="O15" s="17">
        <v>3</v>
      </c>
      <c r="P15" s="17">
        <v>2</v>
      </c>
      <c r="Q15" s="17">
        <v>3</v>
      </c>
      <c r="R15" s="17">
        <v>10</v>
      </c>
      <c r="S15" s="66"/>
    </row>
    <row r="16" spans="1:19" s="29" customFormat="1" ht="24.95" customHeight="1" x14ac:dyDescent="0.25">
      <c r="A16" s="17">
        <v>10</v>
      </c>
      <c r="B16" s="33" t="s">
        <v>60</v>
      </c>
      <c r="C16" s="17">
        <v>4475</v>
      </c>
      <c r="D16" s="34" t="s">
        <v>61</v>
      </c>
      <c r="E16" s="17" t="s">
        <v>20</v>
      </c>
      <c r="F16" s="17" t="s">
        <v>21</v>
      </c>
      <c r="G16" s="35">
        <v>42142</v>
      </c>
      <c r="H16" s="35" t="str">
        <f t="shared" ca="1" si="1"/>
        <v xml:space="preserve">11 Tahun, 4 Bulan </v>
      </c>
      <c r="I16" s="33" t="s">
        <v>62</v>
      </c>
      <c r="J16" s="33" t="s">
        <v>63</v>
      </c>
      <c r="K16" s="33" t="s">
        <v>48</v>
      </c>
      <c r="L16" s="33" t="s">
        <v>25</v>
      </c>
      <c r="M16" s="17" t="s">
        <v>26</v>
      </c>
      <c r="N16" s="17" t="s">
        <v>64</v>
      </c>
      <c r="O16" s="17">
        <v>1</v>
      </c>
      <c r="P16" s="17" t="s">
        <v>53</v>
      </c>
      <c r="Q16" s="17">
        <v>3</v>
      </c>
      <c r="R16" s="17">
        <v>11</v>
      </c>
      <c r="S16" s="65"/>
    </row>
    <row r="17" spans="1:19" s="30" customFormat="1" ht="24.95" customHeight="1" x14ac:dyDescent="0.25">
      <c r="A17" s="17">
        <v>11</v>
      </c>
      <c r="B17" s="33" t="s">
        <v>65</v>
      </c>
      <c r="C17" s="17">
        <v>4476</v>
      </c>
      <c r="D17" s="34" t="s">
        <v>66</v>
      </c>
      <c r="E17" s="17" t="s">
        <v>36</v>
      </c>
      <c r="F17" s="17" t="s">
        <v>21</v>
      </c>
      <c r="G17" s="35">
        <v>41912</v>
      </c>
      <c r="H17" s="35" t="str">
        <f t="shared" ca="1" si="1"/>
        <v xml:space="preserve">11 Tahun, 11 Bulan </v>
      </c>
      <c r="I17" s="33" t="s">
        <v>67</v>
      </c>
      <c r="J17" s="33" t="s">
        <v>68</v>
      </c>
      <c r="K17" s="33"/>
      <c r="L17" s="33" t="s">
        <v>25</v>
      </c>
      <c r="M17" s="17"/>
      <c r="N17" s="17" t="s">
        <v>27</v>
      </c>
      <c r="O17" s="17">
        <v>1</v>
      </c>
      <c r="P17" s="17"/>
      <c r="Q17" s="17">
        <v>2</v>
      </c>
      <c r="R17" s="17">
        <v>13</v>
      </c>
      <c r="S17" s="66"/>
    </row>
    <row r="18" spans="1:19" s="30" customFormat="1" ht="24.95" customHeight="1" x14ac:dyDescent="0.25">
      <c r="A18" s="17">
        <v>12</v>
      </c>
      <c r="B18" s="33" t="s">
        <v>69</v>
      </c>
      <c r="C18" s="17">
        <v>4477</v>
      </c>
      <c r="D18" s="34" t="s">
        <v>70</v>
      </c>
      <c r="E18" s="17" t="s">
        <v>36</v>
      </c>
      <c r="F18" s="17" t="s">
        <v>21</v>
      </c>
      <c r="G18" s="35">
        <v>41925</v>
      </c>
      <c r="H18" s="35" t="str">
        <f t="shared" ca="1" si="1"/>
        <v xml:space="preserve">11 Tahun, 11 Bulan </v>
      </c>
      <c r="I18" s="33" t="s">
        <v>71</v>
      </c>
      <c r="J18" s="33" t="s">
        <v>72</v>
      </c>
      <c r="K18" s="33" t="s">
        <v>33</v>
      </c>
      <c r="L18" s="33" t="s">
        <v>25</v>
      </c>
      <c r="M18" s="17" t="s">
        <v>27</v>
      </c>
      <c r="N18" s="17" t="s">
        <v>27</v>
      </c>
      <c r="O18" s="17">
        <v>1</v>
      </c>
      <c r="P18" s="17"/>
      <c r="Q18" s="17">
        <v>3</v>
      </c>
      <c r="R18" s="17">
        <v>9</v>
      </c>
      <c r="S18" s="66"/>
    </row>
    <row r="19" spans="1:19" s="29" customFormat="1" ht="24.95" customHeight="1" x14ac:dyDescent="0.25">
      <c r="A19" s="17">
        <v>13</v>
      </c>
      <c r="B19" s="33" t="s">
        <v>73</v>
      </c>
      <c r="C19" s="17">
        <v>4478</v>
      </c>
      <c r="D19" s="34" t="s">
        <v>74</v>
      </c>
      <c r="E19" s="17" t="s">
        <v>20</v>
      </c>
      <c r="F19" s="17" t="s">
        <v>21</v>
      </c>
      <c r="G19" s="35">
        <v>41949</v>
      </c>
      <c r="H19" s="35" t="str">
        <f t="shared" ca="1" si="1"/>
        <v xml:space="preserve">11 Tahun, 10 Bulan </v>
      </c>
      <c r="I19" s="33" t="s">
        <v>75</v>
      </c>
      <c r="J19" s="33" t="s">
        <v>76</v>
      </c>
      <c r="K19" s="33" t="s">
        <v>48</v>
      </c>
      <c r="L19" s="33" t="s">
        <v>25</v>
      </c>
      <c r="M19" s="17" t="s">
        <v>27</v>
      </c>
      <c r="N19" s="17" t="s">
        <v>39</v>
      </c>
      <c r="O19" s="17">
        <v>2</v>
      </c>
      <c r="P19" s="17">
        <v>1</v>
      </c>
      <c r="Q19" s="17">
        <v>3</v>
      </c>
      <c r="R19" s="17">
        <v>9</v>
      </c>
      <c r="S19" s="65"/>
    </row>
    <row r="20" spans="1:19" s="30" customFormat="1" ht="24.95" customHeight="1" x14ac:dyDescent="0.25">
      <c r="A20" s="17">
        <v>14</v>
      </c>
      <c r="B20" s="33" t="s">
        <v>77</v>
      </c>
      <c r="C20" s="17">
        <v>4479</v>
      </c>
      <c r="D20" s="34" t="s">
        <v>78</v>
      </c>
      <c r="E20" s="17" t="s">
        <v>36</v>
      </c>
      <c r="F20" s="17" t="s">
        <v>21</v>
      </c>
      <c r="G20" s="47">
        <v>41869</v>
      </c>
      <c r="H20" s="35" t="str">
        <f t="shared" ca="1" si="1"/>
        <v xml:space="preserve">12 Tahun, 1 Bulan </v>
      </c>
      <c r="I20" s="33" t="s">
        <v>79</v>
      </c>
      <c r="J20" s="33" t="s">
        <v>80</v>
      </c>
      <c r="K20" s="33" t="s">
        <v>48</v>
      </c>
      <c r="L20" s="33" t="s">
        <v>25</v>
      </c>
      <c r="M20" s="17" t="s">
        <v>27</v>
      </c>
      <c r="N20" s="17" t="s">
        <v>27</v>
      </c>
      <c r="O20" s="17">
        <v>5</v>
      </c>
      <c r="P20" s="17">
        <v>4</v>
      </c>
      <c r="Q20" s="17">
        <v>2</v>
      </c>
      <c r="R20" s="17">
        <v>7</v>
      </c>
      <c r="S20" s="66"/>
    </row>
    <row r="21" spans="1:19" s="30" customFormat="1" ht="24.95" customHeight="1" x14ac:dyDescent="0.25">
      <c r="A21" s="17">
        <v>15</v>
      </c>
      <c r="B21" s="33" t="s">
        <v>81</v>
      </c>
      <c r="C21" s="17">
        <v>4425</v>
      </c>
      <c r="D21" s="34" t="s">
        <v>82</v>
      </c>
      <c r="E21" s="17" t="s">
        <v>36</v>
      </c>
      <c r="F21" s="17" t="s">
        <v>21</v>
      </c>
      <c r="G21" s="35">
        <v>41435</v>
      </c>
      <c r="H21" s="35" t="str">
        <f t="shared" ca="1" si="1"/>
        <v xml:space="preserve">13 Tahun, 3 Bulan </v>
      </c>
      <c r="I21" s="33" t="s">
        <v>83</v>
      </c>
      <c r="J21" s="33" t="s">
        <v>84</v>
      </c>
      <c r="K21" s="33" t="s">
        <v>33</v>
      </c>
      <c r="L21" s="33" t="s">
        <v>25</v>
      </c>
      <c r="M21" s="17" t="s">
        <v>27</v>
      </c>
      <c r="N21" s="17" t="s">
        <v>27</v>
      </c>
      <c r="O21" s="17">
        <v>4</v>
      </c>
      <c r="P21" s="17">
        <v>3</v>
      </c>
      <c r="Q21" s="17">
        <v>6</v>
      </c>
      <c r="R21" s="17">
        <v>2</v>
      </c>
      <c r="S21" s="66"/>
    </row>
    <row r="22" spans="1:19" s="29" customFormat="1" ht="24.95" customHeight="1" x14ac:dyDescent="0.25">
      <c r="A22" s="17">
        <v>16</v>
      </c>
      <c r="B22" s="33" t="s">
        <v>85</v>
      </c>
      <c r="C22" s="17">
        <v>4480</v>
      </c>
      <c r="D22" s="34" t="s">
        <v>86</v>
      </c>
      <c r="E22" s="17" t="s">
        <v>20</v>
      </c>
      <c r="F22" s="17" t="s">
        <v>21</v>
      </c>
      <c r="G22" s="35">
        <v>41951</v>
      </c>
      <c r="H22" s="35" t="str">
        <f t="shared" ca="1" si="1"/>
        <v xml:space="preserve">11 Tahun, 10 Bulan </v>
      </c>
      <c r="I22" s="33" t="s">
        <v>87</v>
      </c>
      <c r="J22" s="33" t="s">
        <v>88</v>
      </c>
      <c r="K22" s="33" t="s">
        <v>24</v>
      </c>
      <c r="L22" s="33" t="s">
        <v>33</v>
      </c>
      <c r="M22" s="17" t="s">
        <v>27</v>
      </c>
      <c r="N22" s="17" t="s">
        <v>27</v>
      </c>
      <c r="O22" s="17">
        <v>1</v>
      </c>
      <c r="P22" s="17">
        <v>1</v>
      </c>
      <c r="Q22" s="17">
        <v>3</v>
      </c>
      <c r="R22" s="17">
        <v>9</v>
      </c>
      <c r="S22" s="65"/>
    </row>
    <row r="23" spans="1:19" s="29" customFormat="1" ht="24.95" customHeight="1" x14ac:dyDescent="0.25">
      <c r="A23" s="17">
        <v>17</v>
      </c>
      <c r="B23" s="33" t="s">
        <v>89</v>
      </c>
      <c r="C23" s="17">
        <v>4481</v>
      </c>
      <c r="D23" s="34" t="s">
        <v>90</v>
      </c>
      <c r="E23" s="17" t="s">
        <v>20</v>
      </c>
      <c r="F23" s="17" t="s">
        <v>21</v>
      </c>
      <c r="G23" s="35">
        <v>42116</v>
      </c>
      <c r="H23" s="35" t="str">
        <f t="shared" ca="1" si="1"/>
        <v xml:space="preserve">11 Tahun, 5 Bulan </v>
      </c>
      <c r="I23" s="33" t="s">
        <v>91</v>
      </c>
      <c r="J23" s="33" t="s">
        <v>92</v>
      </c>
      <c r="K23" s="33" t="s">
        <v>48</v>
      </c>
      <c r="L23" s="33" t="s">
        <v>25</v>
      </c>
      <c r="M23" s="17" t="s">
        <v>39</v>
      </c>
      <c r="N23" s="17" t="s">
        <v>26</v>
      </c>
      <c r="O23" s="17">
        <v>1</v>
      </c>
      <c r="P23" s="17">
        <v>1</v>
      </c>
      <c r="Q23" s="17">
        <v>2</v>
      </c>
      <c r="R23" s="17">
        <v>9</v>
      </c>
      <c r="S23" s="65"/>
    </row>
    <row r="24" spans="1:19" s="30" customFormat="1" ht="24.95" customHeight="1" x14ac:dyDescent="0.25">
      <c r="A24" s="17">
        <v>18</v>
      </c>
      <c r="B24" s="33" t="s">
        <v>93</v>
      </c>
      <c r="C24" s="17">
        <v>4428</v>
      </c>
      <c r="D24" s="34" t="s">
        <v>94</v>
      </c>
      <c r="E24" s="17" t="s">
        <v>36</v>
      </c>
      <c r="F24" s="17" t="s">
        <v>21</v>
      </c>
      <c r="G24" s="35">
        <v>41565</v>
      </c>
      <c r="H24" s="35" t="str">
        <f t="shared" ca="1" si="1"/>
        <v xml:space="preserve">12 Tahun, 11 Bulan </v>
      </c>
      <c r="I24" s="33" t="s">
        <v>95</v>
      </c>
      <c r="J24" s="33" t="s">
        <v>96</v>
      </c>
      <c r="K24" s="33" t="s">
        <v>33</v>
      </c>
      <c r="L24" s="33" t="s">
        <v>33</v>
      </c>
      <c r="M24" s="17" t="s">
        <v>27</v>
      </c>
      <c r="N24" s="17" t="s">
        <v>27</v>
      </c>
      <c r="O24" s="17">
        <v>2</v>
      </c>
      <c r="P24" s="17">
        <v>2</v>
      </c>
      <c r="Q24" s="17"/>
      <c r="R24" s="17"/>
      <c r="S24" s="66"/>
    </row>
    <row r="25" spans="1:19" s="29" customFormat="1" ht="24.95" customHeight="1" x14ac:dyDescent="0.25">
      <c r="A25" s="17">
        <v>19</v>
      </c>
      <c r="B25" s="33" t="s">
        <v>97</v>
      </c>
      <c r="C25" s="17">
        <v>4482</v>
      </c>
      <c r="D25" s="34" t="s">
        <v>98</v>
      </c>
      <c r="E25" s="17" t="s">
        <v>20</v>
      </c>
      <c r="F25" s="17" t="s">
        <v>21</v>
      </c>
      <c r="G25" s="35">
        <v>42049</v>
      </c>
      <c r="H25" s="35" t="str">
        <f t="shared" ca="1" si="1"/>
        <v xml:space="preserve">11 Tahun, 7 Bulan </v>
      </c>
      <c r="I25" s="33" t="s">
        <v>99</v>
      </c>
      <c r="J25" s="33" t="s">
        <v>100</v>
      </c>
      <c r="K25" s="33" t="s">
        <v>33</v>
      </c>
      <c r="L25" s="33" t="s">
        <v>25</v>
      </c>
      <c r="M25" s="17" t="s">
        <v>26</v>
      </c>
      <c r="N25" s="17" t="s">
        <v>27</v>
      </c>
      <c r="O25" s="17">
        <v>2</v>
      </c>
      <c r="P25" s="17">
        <v>1</v>
      </c>
      <c r="Q25" s="17">
        <v>2</v>
      </c>
      <c r="R25" s="17">
        <v>10</v>
      </c>
      <c r="S25" s="65"/>
    </row>
    <row r="26" spans="1:19" s="29" customFormat="1" ht="24.95" customHeight="1" x14ac:dyDescent="0.25">
      <c r="A26" s="17">
        <v>20</v>
      </c>
      <c r="B26" s="33" t="s">
        <v>101</v>
      </c>
      <c r="C26" s="17">
        <v>4483</v>
      </c>
      <c r="D26" s="34" t="s">
        <v>102</v>
      </c>
      <c r="E26" s="17" t="s">
        <v>20</v>
      </c>
      <c r="F26" s="17" t="s">
        <v>21</v>
      </c>
      <c r="G26" s="35">
        <v>41838</v>
      </c>
      <c r="H26" s="35" t="str">
        <f t="shared" ca="1" si="1"/>
        <v xml:space="preserve">12 Tahun, 2 Bulan </v>
      </c>
      <c r="I26" s="33" t="s">
        <v>103</v>
      </c>
      <c r="J26" s="33" t="s">
        <v>104</v>
      </c>
      <c r="K26" s="33" t="s">
        <v>48</v>
      </c>
      <c r="L26" s="33" t="s">
        <v>25</v>
      </c>
      <c r="M26" s="17" t="s">
        <v>27</v>
      </c>
      <c r="N26" s="17" t="s">
        <v>27</v>
      </c>
      <c r="O26" s="17">
        <v>2</v>
      </c>
      <c r="P26" s="17">
        <v>1</v>
      </c>
      <c r="Q26" s="17">
        <v>3</v>
      </c>
      <c r="R26" s="17">
        <v>9</v>
      </c>
      <c r="S26" s="65"/>
    </row>
    <row r="27" spans="1:19" s="29" customFormat="1" ht="24.95" customHeight="1" x14ac:dyDescent="0.25">
      <c r="A27" s="17">
        <v>21</v>
      </c>
      <c r="B27" s="33" t="s">
        <v>105</v>
      </c>
      <c r="C27" s="17">
        <v>4484</v>
      </c>
      <c r="D27" s="34" t="s">
        <v>106</v>
      </c>
      <c r="E27" s="17" t="s">
        <v>20</v>
      </c>
      <c r="F27" s="17" t="s">
        <v>107</v>
      </c>
      <c r="G27" s="35">
        <v>41900</v>
      </c>
      <c r="H27" s="35" t="str">
        <f t="shared" ca="1" si="1"/>
        <v xml:space="preserve">12 Tahun, 0 Bulan </v>
      </c>
      <c r="I27" s="33" t="s">
        <v>108</v>
      </c>
      <c r="J27" s="33" t="s">
        <v>109</v>
      </c>
      <c r="K27" s="33" t="s">
        <v>48</v>
      </c>
      <c r="L27" s="33" t="s">
        <v>48</v>
      </c>
      <c r="M27" s="17" t="s">
        <v>27</v>
      </c>
      <c r="N27" s="17" t="s">
        <v>27</v>
      </c>
      <c r="O27" s="17">
        <v>1</v>
      </c>
      <c r="P27" s="17"/>
      <c r="Q27" s="17">
        <v>10</v>
      </c>
      <c r="R27" s="17">
        <v>2</v>
      </c>
      <c r="S27" s="65"/>
    </row>
    <row r="28" spans="1:19" s="29" customFormat="1" ht="24.95" customHeight="1" x14ac:dyDescent="0.25">
      <c r="A28" s="17">
        <v>22</v>
      </c>
      <c r="B28" s="33" t="s">
        <v>110</v>
      </c>
      <c r="C28" s="17">
        <v>4485</v>
      </c>
      <c r="D28" s="34" t="s">
        <v>111</v>
      </c>
      <c r="E28" s="17" t="s">
        <v>20</v>
      </c>
      <c r="F28" s="17" t="s">
        <v>21</v>
      </c>
      <c r="G28" s="35">
        <v>42207</v>
      </c>
      <c r="H28" s="35" t="str">
        <f t="shared" ca="1" si="1"/>
        <v xml:space="preserve">11 Tahun, 2 Bulan </v>
      </c>
      <c r="I28" s="33" t="s">
        <v>112</v>
      </c>
      <c r="J28" s="33" t="s">
        <v>113</v>
      </c>
      <c r="K28" s="33" t="s">
        <v>33</v>
      </c>
      <c r="L28" s="33" t="s">
        <v>33</v>
      </c>
      <c r="M28" s="17" t="s">
        <v>27</v>
      </c>
      <c r="N28" s="17" t="s">
        <v>27</v>
      </c>
      <c r="O28" s="17">
        <v>5</v>
      </c>
      <c r="P28" s="17">
        <v>4</v>
      </c>
      <c r="Q28" s="17">
        <v>2</v>
      </c>
      <c r="R28" s="17">
        <v>8</v>
      </c>
      <c r="S28" s="65"/>
    </row>
    <row r="29" spans="1:19" s="29" customFormat="1" ht="24.95" customHeight="1" x14ac:dyDescent="0.25">
      <c r="A29" s="17">
        <v>23</v>
      </c>
      <c r="B29" s="33" t="s">
        <v>114</v>
      </c>
      <c r="C29" s="17">
        <v>4486</v>
      </c>
      <c r="D29" s="34" t="s">
        <v>115</v>
      </c>
      <c r="E29" s="17" t="s">
        <v>20</v>
      </c>
      <c r="F29" s="17" t="s">
        <v>21</v>
      </c>
      <c r="G29" s="35">
        <v>42078</v>
      </c>
      <c r="H29" s="35" t="str">
        <f t="shared" ca="1" si="1"/>
        <v xml:space="preserve">11 Tahun, 6 Bulan </v>
      </c>
      <c r="I29" s="33" t="s">
        <v>116</v>
      </c>
      <c r="J29" s="33" t="s">
        <v>117</v>
      </c>
      <c r="K29" s="33" t="s">
        <v>33</v>
      </c>
      <c r="L29" s="33" t="s">
        <v>25</v>
      </c>
      <c r="M29" s="17" t="s">
        <v>27</v>
      </c>
      <c r="N29" s="17" t="s">
        <v>27</v>
      </c>
      <c r="O29" s="17">
        <v>4</v>
      </c>
      <c r="P29" s="17">
        <v>3</v>
      </c>
      <c r="Q29" s="17">
        <v>2</v>
      </c>
      <c r="R29" s="17">
        <v>8</v>
      </c>
      <c r="S29" s="65"/>
    </row>
    <row r="30" spans="1:19" s="29" customFormat="1" ht="24.95" customHeight="1" x14ac:dyDescent="0.25">
      <c r="A30" s="17">
        <v>24</v>
      </c>
      <c r="B30" s="33" t="s">
        <v>118</v>
      </c>
      <c r="C30" s="17">
        <v>4487</v>
      </c>
      <c r="D30" s="34" t="s">
        <v>119</v>
      </c>
      <c r="E30" s="17" t="s">
        <v>20</v>
      </c>
      <c r="F30" s="17" t="s">
        <v>21</v>
      </c>
      <c r="G30" s="35">
        <v>42053</v>
      </c>
      <c r="H30" s="35" t="str">
        <f t="shared" ca="1" si="1"/>
        <v xml:space="preserve">11 Tahun, 7 Bulan </v>
      </c>
      <c r="I30" s="33" t="s">
        <v>120</v>
      </c>
      <c r="J30" s="33" t="s">
        <v>121</v>
      </c>
      <c r="K30" s="33"/>
      <c r="L30" s="33" t="s">
        <v>25</v>
      </c>
      <c r="M30" s="17"/>
      <c r="N30" s="17"/>
      <c r="O30" s="17">
        <v>2</v>
      </c>
      <c r="P30" s="17"/>
      <c r="Q30" s="17"/>
      <c r="R30" s="17"/>
      <c r="S30" s="65"/>
    </row>
    <row r="31" spans="1:19" s="30" customFormat="1" ht="24.95" customHeight="1" x14ac:dyDescent="0.25">
      <c r="A31" s="17">
        <v>25</v>
      </c>
      <c r="B31" s="33" t="s">
        <v>122</v>
      </c>
      <c r="C31" s="17">
        <v>4488</v>
      </c>
      <c r="D31" s="34" t="s">
        <v>123</v>
      </c>
      <c r="E31" s="17" t="s">
        <v>36</v>
      </c>
      <c r="F31" s="17" t="s">
        <v>21</v>
      </c>
      <c r="G31" s="35">
        <v>42003</v>
      </c>
      <c r="H31" s="35" t="str">
        <f t="shared" ca="1" si="1"/>
        <v xml:space="preserve">11 Tahun, 8 Bulan </v>
      </c>
      <c r="I31" s="33" t="s">
        <v>124</v>
      </c>
      <c r="J31" s="33" t="s">
        <v>125</v>
      </c>
      <c r="K31" s="33" t="s">
        <v>24</v>
      </c>
      <c r="L31" s="33" t="s">
        <v>25</v>
      </c>
      <c r="M31" s="17" t="s">
        <v>39</v>
      </c>
      <c r="N31" s="17" t="s">
        <v>39</v>
      </c>
      <c r="O31" s="17">
        <v>2</v>
      </c>
      <c r="P31" s="17">
        <v>2</v>
      </c>
      <c r="Q31" s="17">
        <v>2</v>
      </c>
      <c r="R31" s="17">
        <v>11</v>
      </c>
      <c r="S31" s="66"/>
    </row>
    <row r="32" spans="1:19" s="30" customFormat="1" ht="24.95" customHeight="1" x14ac:dyDescent="0.25">
      <c r="A32" s="17">
        <v>26</v>
      </c>
      <c r="B32" s="33" t="s">
        <v>126</v>
      </c>
      <c r="C32" s="17">
        <v>4489</v>
      </c>
      <c r="D32" s="34" t="s">
        <v>127</v>
      </c>
      <c r="E32" s="17" t="s">
        <v>36</v>
      </c>
      <c r="F32" s="17" t="s">
        <v>128</v>
      </c>
      <c r="G32" s="35">
        <v>42004</v>
      </c>
      <c r="H32" s="35" t="str">
        <f t="shared" ca="1" si="1"/>
        <v xml:space="preserve">11 Tahun, 8 Bulan </v>
      </c>
      <c r="I32" s="33" t="s">
        <v>129</v>
      </c>
      <c r="J32" s="33" t="s">
        <v>130</v>
      </c>
      <c r="K32" s="33" t="s">
        <v>24</v>
      </c>
      <c r="L32" s="33" t="s">
        <v>25</v>
      </c>
      <c r="M32" s="17" t="s">
        <v>26</v>
      </c>
      <c r="N32" s="17" t="s">
        <v>26</v>
      </c>
      <c r="O32" s="17">
        <v>2</v>
      </c>
      <c r="P32" s="17">
        <v>2</v>
      </c>
      <c r="Q32" s="17">
        <v>9</v>
      </c>
      <c r="R32" s="17">
        <v>9</v>
      </c>
      <c r="S32" s="66"/>
    </row>
    <row r="33" spans="1:19" s="29" customFormat="1" ht="24.95" customHeight="1" x14ac:dyDescent="0.25">
      <c r="A33" s="17">
        <v>27</v>
      </c>
      <c r="B33" s="33" t="s">
        <v>131</v>
      </c>
      <c r="C33" s="17">
        <v>4490</v>
      </c>
      <c r="D33" s="34" t="s">
        <v>132</v>
      </c>
      <c r="E33" s="17" t="s">
        <v>20</v>
      </c>
      <c r="F33" s="17" t="s">
        <v>21</v>
      </c>
      <c r="G33" s="35">
        <v>42107</v>
      </c>
      <c r="H33" s="35" t="str">
        <f t="shared" ca="1" si="1"/>
        <v xml:space="preserve">11 Tahun, 5 Bulan </v>
      </c>
      <c r="I33" s="33" t="s">
        <v>133</v>
      </c>
      <c r="J33" s="33" t="s">
        <v>134</v>
      </c>
      <c r="K33" s="33" t="s">
        <v>33</v>
      </c>
      <c r="L33" s="33" t="s">
        <v>25</v>
      </c>
      <c r="M33" s="17" t="s">
        <v>27</v>
      </c>
      <c r="N33" s="17" t="s">
        <v>27</v>
      </c>
      <c r="O33" s="17">
        <v>4</v>
      </c>
      <c r="P33" s="17">
        <v>2</v>
      </c>
      <c r="Q33" s="17">
        <v>1</v>
      </c>
      <c r="R33" s="17">
        <v>11</v>
      </c>
      <c r="S33" s="65"/>
    </row>
    <row r="34" spans="1:19" s="29" customFormat="1" ht="24.95" customHeight="1" x14ac:dyDescent="0.25">
      <c r="A34" s="17">
        <v>28</v>
      </c>
      <c r="B34" s="33" t="s">
        <v>135</v>
      </c>
      <c r="C34" s="17">
        <v>4491</v>
      </c>
      <c r="D34" s="34" t="s">
        <v>136</v>
      </c>
      <c r="E34" s="17" t="s">
        <v>20</v>
      </c>
      <c r="F34" s="17" t="s">
        <v>21</v>
      </c>
      <c r="G34" s="35">
        <v>41885</v>
      </c>
      <c r="H34" s="35" t="str">
        <f t="shared" ca="1" si="1"/>
        <v xml:space="preserve">12 Tahun, 0 Bulan </v>
      </c>
      <c r="I34" s="33" t="s">
        <v>137</v>
      </c>
      <c r="J34" s="33" t="s">
        <v>138</v>
      </c>
      <c r="K34" s="33" t="s">
        <v>33</v>
      </c>
      <c r="L34" s="33" t="s">
        <v>25</v>
      </c>
      <c r="M34" s="17" t="s">
        <v>27</v>
      </c>
      <c r="N34" s="17" t="s">
        <v>27</v>
      </c>
      <c r="O34" s="17">
        <v>1</v>
      </c>
      <c r="P34" s="17"/>
      <c r="Q34" s="17">
        <v>2</v>
      </c>
      <c r="R34" s="17">
        <v>8</v>
      </c>
      <c r="S34" s="65"/>
    </row>
    <row r="35" spans="1:19" s="29" customFormat="1" ht="24.95" customHeight="1" x14ac:dyDescent="0.25">
      <c r="A35" s="17">
        <v>29</v>
      </c>
      <c r="B35" s="33" t="s">
        <v>139</v>
      </c>
      <c r="C35" s="17">
        <v>4493</v>
      </c>
      <c r="D35" s="34" t="s">
        <v>140</v>
      </c>
      <c r="E35" s="17" t="s">
        <v>20</v>
      </c>
      <c r="F35" s="17" t="s">
        <v>21</v>
      </c>
      <c r="G35" s="35">
        <v>42110</v>
      </c>
      <c r="H35" s="35" t="str">
        <f t="shared" ca="1" si="1"/>
        <v xml:space="preserve">11 Tahun, 5 Bulan </v>
      </c>
      <c r="I35" s="33" t="s">
        <v>141</v>
      </c>
      <c r="J35" s="33" t="s">
        <v>142</v>
      </c>
      <c r="K35" s="33"/>
      <c r="L35" s="33" t="s">
        <v>25</v>
      </c>
      <c r="M35" s="17"/>
      <c r="N35" s="17" t="s">
        <v>39</v>
      </c>
      <c r="O35" s="17">
        <v>1</v>
      </c>
      <c r="P35" s="17"/>
      <c r="Q35" s="17">
        <v>2</v>
      </c>
      <c r="R35" s="17">
        <v>9</v>
      </c>
      <c r="S35" s="65"/>
    </row>
    <row r="36" spans="1:19" s="29" customFormat="1" ht="24.95" customHeight="1" x14ac:dyDescent="0.25">
      <c r="A36" s="17">
        <v>30</v>
      </c>
      <c r="B36" s="33" t="s">
        <v>144</v>
      </c>
      <c r="C36" s="17">
        <v>4495</v>
      </c>
      <c r="D36" s="34" t="s">
        <v>145</v>
      </c>
      <c r="E36" s="17" t="s">
        <v>20</v>
      </c>
      <c r="F36" s="17" t="s">
        <v>21</v>
      </c>
      <c r="G36" s="35">
        <v>42158</v>
      </c>
      <c r="H36" s="35" t="str">
        <f t="shared" ca="1" si="1"/>
        <v xml:space="preserve">11 Tahun, 3 Bulan </v>
      </c>
      <c r="I36" s="33" t="s">
        <v>146</v>
      </c>
      <c r="J36" s="33" t="s">
        <v>147</v>
      </c>
      <c r="K36" s="33" t="s">
        <v>24</v>
      </c>
      <c r="L36" s="33" t="s">
        <v>25</v>
      </c>
      <c r="M36" s="17" t="s">
        <v>39</v>
      </c>
      <c r="N36" s="17" t="s">
        <v>27</v>
      </c>
      <c r="O36" s="17">
        <v>4</v>
      </c>
      <c r="P36" s="17">
        <v>3</v>
      </c>
      <c r="Q36" s="17">
        <v>2</v>
      </c>
      <c r="R36" s="17">
        <v>8</v>
      </c>
      <c r="S36" s="65"/>
    </row>
    <row r="37" spans="1:19" s="29" customFormat="1" ht="24.95" customHeight="1" x14ac:dyDescent="0.25">
      <c r="A37" s="17">
        <v>31</v>
      </c>
      <c r="B37" s="33" t="s">
        <v>148</v>
      </c>
      <c r="C37" s="17">
        <v>4496</v>
      </c>
      <c r="D37" s="34" t="s">
        <v>149</v>
      </c>
      <c r="E37" s="17" t="s">
        <v>20</v>
      </c>
      <c r="F37" s="17" t="s">
        <v>21</v>
      </c>
      <c r="G37" s="35">
        <v>42036</v>
      </c>
      <c r="H37" s="35" t="str">
        <f t="shared" ca="1" si="1"/>
        <v xml:space="preserve">11 Tahun, 7 Bulan </v>
      </c>
      <c r="I37" s="33" t="s">
        <v>150</v>
      </c>
      <c r="J37" s="33" t="s">
        <v>151</v>
      </c>
      <c r="K37" s="33" t="s">
        <v>58</v>
      </c>
      <c r="L37" s="33" t="s">
        <v>25</v>
      </c>
      <c r="M37" s="17" t="s">
        <v>27</v>
      </c>
      <c r="N37" s="17" t="s">
        <v>27</v>
      </c>
      <c r="O37" s="17">
        <v>2</v>
      </c>
      <c r="P37" s="17">
        <v>1</v>
      </c>
      <c r="Q37" s="17">
        <v>1</v>
      </c>
      <c r="R37" s="17">
        <v>11</v>
      </c>
      <c r="S37" s="65"/>
    </row>
    <row r="38" spans="1:19" s="29" customFormat="1" ht="24.95" customHeight="1" x14ac:dyDescent="0.25">
      <c r="A38" s="17">
        <v>32</v>
      </c>
      <c r="B38" s="33" t="s">
        <v>152</v>
      </c>
      <c r="C38" s="17">
        <v>4497</v>
      </c>
      <c r="D38" s="34" t="s">
        <v>153</v>
      </c>
      <c r="E38" s="17" t="s">
        <v>20</v>
      </c>
      <c r="F38" s="17" t="s">
        <v>21</v>
      </c>
      <c r="G38" s="35">
        <v>42069</v>
      </c>
      <c r="H38" s="35" t="str">
        <f t="shared" ca="1" si="1"/>
        <v xml:space="preserve">11 Tahun, 6 Bulan </v>
      </c>
      <c r="I38" s="33" t="s">
        <v>154</v>
      </c>
      <c r="J38" s="33" t="s">
        <v>155</v>
      </c>
      <c r="K38" s="33" t="s">
        <v>24</v>
      </c>
      <c r="L38" s="33" t="s">
        <v>25</v>
      </c>
      <c r="M38" s="17" t="s">
        <v>39</v>
      </c>
      <c r="N38" s="17" t="s">
        <v>27</v>
      </c>
      <c r="O38" s="17">
        <v>2</v>
      </c>
      <c r="P38" s="17">
        <v>1</v>
      </c>
      <c r="Q38" s="17">
        <v>2</v>
      </c>
      <c r="R38" s="17">
        <v>10</v>
      </c>
      <c r="S38" s="65"/>
    </row>
    <row r="39" spans="1:19" s="30" customFormat="1" ht="24.95" customHeight="1" x14ac:dyDescent="0.25">
      <c r="A39" s="17">
        <v>33</v>
      </c>
      <c r="B39" s="33" t="s">
        <v>156</v>
      </c>
      <c r="C39" s="17">
        <v>4499</v>
      </c>
      <c r="D39" s="34" t="s">
        <v>157</v>
      </c>
      <c r="E39" s="17" t="s">
        <v>36</v>
      </c>
      <c r="F39" s="17" t="s">
        <v>21</v>
      </c>
      <c r="G39" s="35">
        <v>41904</v>
      </c>
      <c r="H39" s="35" t="str">
        <f t="shared" ca="1" si="1"/>
        <v xml:space="preserve">12 Tahun, 0 Bulan </v>
      </c>
      <c r="I39" s="33" t="s">
        <v>158</v>
      </c>
      <c r="J39" s="33" t="s">
        <v>159</v>
      </c>
      <c r="K39" s="33" t="s">
        <v>33</v>
      </c>
      <c r="L39" s="33" t="s">
        <v>33</v>
      </c>
      <c r="M39" s="17" t="s">
        <v>27</v>
      </c>
      <c r="N39" s="17" t="s">
        <v>27</v>
      </c>
      <c r="O39" s="17">
        <v>2</v>
      </c>
      <c r="P39" s="17">
        <v>1</v>
      </c>
      <c r="Q39" s="17">
        <v>2</v>
      </c>
      <c r="R39" s="17">
        <v>10</v>
      </c>
      <c r="S39" s="66"/>
    </row>
    <row r="40" spans="1:19" s="30" customFormat="1" ht="24.95" customHeight="1" x14ac:dyDescent="0.25">
      <c r="A40" s="17">
        <v>34</v>
      </c>
      <c r="B40" s="33" t="s">
        <v>160</v>
      </c>
      <c r="C40" s="17">
        <v>4500</v>
      </c>
      <c r="D40" s="34" t="s">
        <v>161</v>
      </c>
      <c r="E40" s="17" t="s">
        <v>36</v>
      </c>
      <c r="F40" s="17" t="s">
        <v>21</v>
      </c>
      <c r="G40" s="35">
        <v>42046</v>
      </c>
      <c r="H40" s="35" t="str">
        <f t="shared" ca="1" si="1"/>
        <v xml:space="preserve">11 Tahun, 7 Bulan </v>
      </c>
      <c r="I40" s="33" t="s">
        <v>162</v>
      </c>
      <c r="J40" s="33" t="s">
        <v>163</v>
      </c>
      <c r="K40" s="33" t="s">
        <v>33</v>
      </c>
      <c r="L40" s="33" t="s">
        <v>25</v>
      </c>
      <c r="M40" s="17" t="s">
        <v>27</v>
      </c>
      <c r="N40" s="17" t="s">
        <v>27</v>
      </c>
      <c r="O40" s="17">
        <v>3</v>
      </c>
      <c r="P40" s="17">
        <v>2</v>
      </c>
      <c r="Q40" s="17">
        <v>2</v>
      </c>
      <c r="R40" s="17">
        <v>10</v>
      </c>
      <c r="S40" s="66"/>
    </row>
    <row r="41" spans="1:19" s="30" customFormat="1" ht="24.95" customHeight="1" x14ac:dyDescent="0.25">
      <c r="A41" s="17">
        <v>35</v>
      </c>
      <c r="B41" s="33" t="s">
        <v>164</v>
      </c>
      <c r="C41" s="17">
        <v>4448</v>
      </c>
      <c r="D41" s="34" t="s">
        <v>165</v>
      </c>
      <c r="E41" s="17" t="s">
        <v>36</v>
      </c>
      <c r="F41" s="17" t="s">
        <v>21</v>
      </c>
      <c r="G41" s="35">
        <v>41764</v>
      </c>
      <c r="H41" s="35" t="str">
        <f t="shared" ca="1" si="1"/>
        <v xml:space="preserve">12 Tahun, 4 Bulan </v>
      </c>
      <c r="I41" s="33" t="s">
        <v>166</v>
      </c>
      <c r="J41" s="33" t="s">
        <v>167</v>
      </c>
      <c r="K41" s="33" t="s">
        <v>33</v>
      </c>
      <c r="L41" s="33" t="s">
        <v>25</v>
      </c>
      <c r="M41" s="17" t="s">
        <v>27</v>
      </c>
      <c r="N41" s="17" t="s">
        <v>27</v>
      </c>
      <c r="O41" s="17">
        <v>4</v>
      </c>
      <c r="P41" s="17">
        <v>3</v>
      </c>
      <c r="Q41" s="17"/>
      <c r="R41" s="17"/>
      <c r="S41" s="66"/>
    </row>
    <row r="42" spans="1:19" s="30" customFormat="1" ht="24.95" customHeight="1" x14ac:dyDescent="0.25">
      <c r="A42" s="17">
        <v>36</v>
      </c>
      <c r="B42" s="33" t="s">
        <v>168</v>
      </c>
      <c r="C42" s="17">
        <v>4501</v>
      </c>
      <c r="D42" s="34" t="s">
        <v>169</v>
      </c>
      <c r="E42" s="17" t="s">
        <v>36</v>
      </c>
      <c r="F42" s="17" t="s">
        <v>21</v>
      </c>
      <c r="G42" s="35">
        <v>41765</v>
      </c>
      <c r="H42" s="35" t="str">
        <f t="shared" ca="1" si="1"/>
        <v xml:space="preserve">12 Tahun, 4 Bulan </v>
      </c>
      <c r="I42" s="33" t="s">
        <v>170</v>
      </c>
      <c r="J42" s="33" t="s">
        <v>171</v>
      </c>
      <c r="K42" s="33" t="s">
        <v>33</v>
      </c>
      <c r="L42" s="33" t="s">
        <v>25</v>
      </c>
      <c r="M42" s="17" t="s">
        <v>27</v>
      </c>
      <c r="N42" s="17" t="s">
        <v>27</v>
      </c>
      <c r="O42" s="17">
        <v>3</v>
      </c>
      <c r="P42" s="17">
        <v>1</v>
      </c>
      <c r="Q42" s="17">
        <v>2</v>
      </c>
      <c r="R42" s="17">
        <v>8</v>
      </c>
      <c r="S42" s="66"/>
    </row>
    <row r="43" spans="1:19" s="31" customFormat="1" ht="24.95" customHeight="1" x14ac:dyDescent="0.25">
      <c r="A43" s="17">
        <v>37</v>
      </c>
      <c r="B43" s="33" t="s">
        <v>172</v>
      </c>
      <c r="C43" s="17">
        <v>4502</v>
      </c>
      <c r="D43" s="34" t="s">
        <v>173</v>
      </c>
      <c r="E43" s="17" t="s">
        <v>20</v>
      </c>
      <c r="F43" s="17" t="s">
        <v>21</v>
      </c>
      <c r="G43" s="35">
        <v>42048</v>
      </c>
      <c r="H43" s="35" t="str">
        <f t="shared" ca="1" si="1"/>
        <v xml:space="preserve">11 Tahun, 7 Bulan </v>
      </c>
      <c r="I43" s="33" t="s">
        <v>174</v>
      </c>
      <c r="J43" s="33" t="s">
        <v>175</v>
      </c>
      <c r="K43" s="33" t="s">
        <v>48</v>
      </c>
      <c r="L43" s="33" t="s">
        <v>48</v>
      </c>
      <c r="M43" s="17" t="s">
        <v>39</v>
      </c>
      <c r="N43" s="17" t="s">
        <v>39</v>
      </c>
      <c r="O43" s="17">
        <v>2</v>
      </c>
      <c r="P43" s="17">
        <v>1</v>
      </c>
      <c r="Q43" s="17">
        <v>1</v>
      </c>
      <c r="R43" s="17">
        <v>10</v>
      </c>
      <c r="S43" s="67"/>
    </row>
    <row r="44" spans="1:19" s="30" customFormat="1" ht="24.95" customHeight="1" x14ac:dyDescent="0.25">
      <c r="A44" s="17">
        <v>38</v>
      </c>
      <c r="B44" s="33" t="s">
        <v>176</v>
      </c>
      <c r="C44" s="17">
        <v>4506</v>
      </c>
      <c r="D44" s="34" t="s">
        <v>177</v>
      </c>
      <c r="E44" s="17" t="s">
        <v>36</v>
      </c>
      <c r="F44" s="17" t="s">
        <v>21</v>
      </c>
      <c r="G44" s="35">
        <v>41976</v>
      </c>
      <c r="H44" s="35" t="str">
        <f t="shared" ca="1" si="1"/>
        <v xml:space="preserve">11 Tahun, 9 Bulan </v>
      </c>
      <c r="I44" s="33" t="s">
        <v>178</v>
      </c>
      <c r="J44" s="33" t="s">
        <v>179</v>
      </c>
      <c r="K44" s="33" t="s">
        <v>33</v>
      </c>
      <c r="L44" s="33"/>
      <c r="M44" s="17" t="s">
        <v>27</v>
      </c>
      <c r="N44" s="17"/>
      <c r="O44" s="17">
        <v>1</v>
      </c>
      <c r="P44" s="17">
        <v>1</v>
      </c>
      <c r="Q44" s="17">
        <v>3</v>
      </c>
      <c r="R44" s="17">
        <v>10</v>
      </c>
      <c r="S44" s="66"/>
    </row>
    <row r="45" spans="1:19" s="31" customFormat="1" ht="24.95" customHeight="1" x14ac:dyDescent="0.25">
      <c r="A45" s="17">
        <v>39</v>
      </c>
      <c r="B45" s="33" t="s">
        <v>180</v>
      </c>
      <c r="C45" s="17">
        <v>4507</v>
      </c>
      <c r="D45" s="34" t="s">
        <v>181</v>
      </c>
      <c r="E45" s="17" t="s">
        <v>20</v>
      </c>
      <c r="F45" s="17" t="s">
        <v>21</v>
      </c>
      <c r="G45" s="35">
        <v>41866</v>
      </c>
      <c r="H45" s="35" t="str">
        <f t="shared" ca="1" si="1"/>
        <v xml:space="preserve">12 Tahun, 1 Bulan </v>
      </c>
      <c r="I45" s="33" t="s">
        <v>182</v>
      </c>
      <c r="J45" s="33" t="s">
        <v>183</v>
      </c>
      <c r="K45" s="33" t="s">
        <v>24</v>
      </c>
      <c r="L45" s="33" t="s">
        <v>184</v>
      </c>
      <c r="M45" s="17" t="s">
        <v>26</v>
      </c>
      <c r="N45" s="17" t="s">
        <v>185</v>
      </c>
      <c r="O45" s="17">
        <v>1</v>
      </c>
      <c r="P45" s="17"/>
      <c r="Q45" s="17">
        <v>1</v>
      </c>
      <c r="R45" s="17">
        <v>8</v>
      </c>
      <c r="S45" s="67"/>
    </row>
    <row r="46" spans="1:19" s="30" customFormat="1" ht="24.95" customHeight="1" x14ac:dyDescent="0.25">
      <c r="A46" s="17">
        <v>40</v>
      </c>
      <c r="B46" s="33" t="s">
        <v>186</v>
      </c>
      <c r="C46" s="17">
        <v>4508</v>
      </c>
      <c r="D46" s="34" t="s">
        <v>187</v>
      </c>
      <c r="E46" s="17" t="s">
        <v>36</v>
      </c>
      <c r="F46" s="17" t="s">
        <v>21</v>
      </c>
      <c r="G46" s="35">
        <v>42091</v>
      </c>
      <c r="H46" s="35" t="str">
        <f t="shared" ca="1" si="1"/>
        <v xml:space="preserve">11 Tahun, 5 Bulan </v>
      </c>
      <c r="I46" s="33" t="s">
        <v>188</v>
      </c>
      <c r="J46" s="33" t="s">
        <v>189</v>
      </c>
      <c r="K46" s="33" t="s">
        <v>24</v>
      </c>
      <c r="L46" s="33" t="s">
        <v>24</v>
      </c>
      <c r="M46" s="17" t="s">
        <v>27</v>
      </c>
      <c r="N46" s="17" t="s">
        <v>27</v>
      </c>
      <c r="O46" s="17">
        <v>4</v>
      </c>
      <c r="P46" s="17">
        <v>3</v>
      </c>
      <c r="Q46" s="17">
        <v>2</v>
      </c>
      <c r="R46" s="17">
        <v>10</v>
      </c>
      <c r="S46" s="66"/>
    </row>
    <row r="47" spans="1:19" s="30" customFormat="1" ht="24.95" customHeight="1" x14ac:dyDescent="0.25">
      <c r="A47" s="17">
        <v>41</v>
      </c>
      <c r="B47" s="33" t="s">
        <v>190</v>
      </c>
      <c r="C47" s="17">
        <v>4509</v>
      </c>
      <c r="D47" s="34" t="s">
        <v>191</v>
      </c>
      <c r="E47" s="17" t="s">
        <v>36</v>
      </c>
      <c r="F47" s="17" t="s">
        <v>128</v>
      </c>
      <c r="G47" s="35">
        <v>41896</v>
      </c>
      <c r="H47" s="35" t="str">
        <f t="shared" ca="1" si="1"/>
        <v xml:space="preserve">12 Tahun, 0 Bulan </v>
      </c>
      <c r="I47" s="33" t="s">
        <v>192</v>
      </c>
      <c r="J47" s="33" t="s">
        <v>193</v>
      </c>
      <c r="K47" s="33"/>
      <c r="L47" s="33" t="s">
        <v>25</v>
      </c>
      <c r="M47" s="17"/>
      <c r="N47" s="17" t="s">
        <v>39</v>
      </c>
      <c r="O47" s="17">
        <v>3</v>
      </c>
      <c r="P47" s="17">
        <v>2</v>
      </c>
      <c r="Q47" s="17">
        <v>1</v>
      </c>
      <c r="R47" s="17">
        <v>11</v>
      </c>
      <c r="S47" s="66"/>
    </row>
    <row r="48" spans="1:19" s="31" customFormat="1" ht="24.95" customHeight="1" x14ac:dyDescent="0.25">
      <c r="A48" s="17">
        <v>42</v>
      </c>
      <c r="B48" s="33" t="s">
        <v>194</v>
      </c>
      <c r="C48" s="17">
        <v>4510</v>
      </c>
      <c r="D48" s="34" t="s">
        <v>195</v>
      </c>
      <c r="E48" s="17" t="s">
        <v>20</v>
      </c>
      <c r="F48" s="17" t="s">
        <v>21</v>
      </c>
      <c r="G48" s="35">
        <v>42086</v>
      </c>
      <c r="H48" s="35" t="str">
        <f t="shared" ca="1" si="1"/>
        <v xml:space="preserve">11 Tahun, 6 Bulan </v>
      </c>
      <c r="I48" s="33" t="s">
        <v>196</v>
      </c>
      <c r="J48" s="33" t="s">
        <v>197</v>
      </c>
      <c r="K48" s="33" t="s">
        <v>24</v>
      </c>
      <c r="L48" s="33" t="s">
        <v>25</v>
      </c>
      <c r="M48" s="17" t="s">
        <v>39</v>
      </c>
      <c r="N48" s="17" t="s">
        <v>27</v>
      </c>
      <c r="O48" s="17">
        <v>3</v>
      </c>
      <c r="P48" s="17">
        <v>2</v>
      </c>
      <c r="Q48" s="17">
        <v>2</v>
      </c>
      <c r="R48" s="17">
        <v>8</v>
      </c>
      <c r="S48" s="67"/>
    </row>
    <row r="49" spans="1:75" s="30" customFormat="1" ht="24.95" customHeight="1" x14ac:dyDescent="0.25">
      <c r="A49" s="17">
        <v>43</v>
      </c>
      <c r="B49" s="33" t="s">
        <v>198</v>
      </c>
      <c r="C49" s="17">
        <v>4511</v>
      </c>
      <c r="D49" s="34" t="s">
        <v>838</v>
      </c>
      <c r="E49" s="17" t="s">
        <v>36</v>
      </c>
      <c r="F49" s="17" t="s">
        <v>21</v>
      </c>
      <c r="G49" s="35">
        <v>42090</v>
      </c>
      <c r="H49" s="35" t="str">
        <f t="shared" ca="1" si="1"/>
        <v xml:space="preserve">11 Tahun, 5 Bulan </v>
      </c>
      <c r="I49" s="33" t="s">
        <v>199</v>
      </c>
      <c r="J49" s="33" t="s">
        <v>104</v>
      </c>
      <c r="K49" s="33" t="s">
        <v>48</v>
      </c>
      <c r="L49" s="33" t="s">
        <v>25</v>
      </c>
      <c r="M49" s="17" t="s">
        <v>27</v>
      </c>
      <c r="N49" s="17" t="s">
        <v>39</v>
      </c>
      <c r="O49" s="17">
        <v>2</v>
      </c>
      <c r="P49" s="17">
        <v>1</v>
      </c>
      <c r="Q49" s="17">
        <v>3</v>
      </c>
      <c r="R49" s="17">
        <v>9</v>
      </c>
      <c r="S49" s="66"/>
    </row>
    <row r="50" spans="1:75" s="31" customFormat="1" ht="24.95" customHeight="1" x14ac:dyDescent="0.25">
      <c r="A50" s="17">
        <v>44</v>
      </c>
      <c r="B50" s="33" t="s">
        <v>200</v>
      </c>
      <c r="C50" s="17">
        <v>4512</v>
      </c>
      <c r="D50" s="34" t="s">
        <v>201</v>
      </c>
      <c r="E50" s="17" t="s">
        <v>20</v>
      </c>
      <c r="F50" s="17" t="s">
        <v>21</v>
      </c>
      <c r="G50" s="35">
        <v>41846</v>
      </c>
      <c r="H50" s="35" t="str">
        <f t="shared" ca="1" si="1"/>
        <v xml:space="preserve">12 Tahun, 1 Bulan </v>
      </c>
      <c r="I50" s="33" t="s">
        <v>202</v>
      </c>
      <c r="J50" s="33" t="s">
        <v>203</v>
      </c>
      <c r="K50" s="33" t="s">
        <v>24</v>
      </c>
      <c r="L50" s="33" t="s">
        <v>25</v>
      </c>
      <c r="M50" s="17" t="s">
        <v>27</v>
      </c>
      <c r="N50" s="17" t="s">
        <v>27</v>
      </c>
      <c r="O50" s="17">
        <v>1</v>
      </c>
      <c r="P50" s="17"/>
      <c r="Q50" s="17">
        <v>2</v>
      </c>
      <c r="R50" s="17">
        <v>10</v>
      </c>
      <c r="S50" s="67"/>
    </row>
    <row r="51" spans="1:75" s="31" customFormat="1" ht="24.75" customHeight="1" x14ac:dyDescent="0.25">
      <c r="A51" s="17">
        <v>45</v>
      </c>
      <c r="B51" s="33" t="s">
        <v>204</v>
      </c>
      <c r="C51" s="17">
        <v>4513</v>
      </c>
      <c r="D51" s="34" t="s">
        <v>205</v>
      </c>
      <c r="E51" s="17" t="s">
        <v>20</v>
      </c>
      <c r="F51" s="17" t="s">
        <v>21</v>
      </c>
      <c r="G51" s="35">
        <v>41761</v>
      </c>
      <c r="H51" s="35" t="str">
        <f t="shared" ca="1" si="1"/>
        <v xml:space="preserve">12 Tahun, 4 Bulan </v>
      </c>
      <c r="I51" s="33" t="s">
        <v>206</v>
      </c>
      <c r="J51" s="33" t="s">
        <v>207</v>
      </c>
      <c r="K51" s="33" t="s">
        <v>24</v>
      </c>
      <c r="L51" s="33" t="s">
        <v>25</v>
      </c>
      <c r="M51" s="17" t="s">
        <v>27</v>
      </c>
      <c r="N51" s="17" t="s">
        <v>27</v>
      </c>
      <c r="O51" s="17">
        <v>2</v>
      </c>
      <c r="P51" s="17">
        <v>1</v>
      </c>
      <c r="Q51" s="17">
        <v>2</v>
      </c>
      <c r="R51" s="17">
        <v>10</v>
      </c>
      <c r="S51" s="67"/>
    </row>
    <row r="52" spans="1:75" s="30" customFormat="1" ht="24.75" customHeight="1" x14ac:dyDescent="0.25">
      <c r="A52" s="17">
        <v>46</v>
      </c>
      <c r="B52" s="33" t="s">
        <v>208</v>
      </c>
      <c r="C52" s="17">
        <v>4515</v>
      </c>
      <c r="D52" s="34" t="s">
        <v>209</v>
      </c>
      <c r="E52" s="17" t="s">
        <v>36</v>
      </c>
      <c r="F52" s="17" t="s">
        <v>21</v>
      </c>
      <c r="G52" s="35">
        <v>41865</v>
      </c>
      <c r="H52" s="35" t="str">
        <f t="shared" ca="1" si="1"/>
        <v xml:space="preserve">12 Tahun, 1 Bulan </v>
      </c>
      <c r="I52" s="33" t="s">
        <v>210</v>
      </c>
      <c r="J52" s="33" t="s">
        <v>211</v>
      </c>
      <c r="K52" s="33" t="s">
        <v>48</v>
      </c>
      <c r="L52" s="33" t="s">
        <v>25</v>
      </c>
      <c r="M52" s="17" t="s">
        <v>39</v>
      </c>
      <c r="N52" s="17" t="s">
        <v>39</v>
      </c>
      <c r="O52" s="17">
        <v>1</v>
      </c>
      <c r="P52" s="17">
        <v>1</v>
      </c>
      <c r="Q52" s="17">
        <v>2</v>
      </c>
      <c r="R52" s="17">
        <v>8</v>
      </c>
      <c r="S52" s="66"/>
    </row>
    <row r="53" spans="1:75" s="30" customFormat="1" ht="24.75" customHeight="1" x14ac:dyDescent="0.25">
      <c r="A53" s="17">
        <v>47</v>
      </c>
      <c r="B53" s="33" t="s">
        <v>338</v>
      </c>
      <c r="C53" s="17">
        <v>4538</v>
      </c>
      <c r="D53" s="46" t="s">
        <v>339</v>
      </c>
      <c r="E53" s="17" t="s">
        <v>20</v>
      </c>
      <c r="F53" s="17" t="s">
        <v>21</v>
      </c>
      <c r="G53" s="35">
        <v>42181</v>
      </c>
      <c r="H53" s="35" t="str">
        <f t="shared" ca="1" si="1"/>
        <v xml:space="preserve">11 Tahun, 2 Bulan </v>
      </c>
      <c r="I53" s="33"/>
      <c r="J53" s="33" t="s">
        <v>340</v>
      </c>
      <c r="K53" s="33"/>
      <c r="L53" s="33"/>
      <c r="M53" s="17"/>
      <c r="N53" s="17"/>
      <c r="O53" s="17"/>
      <c r="P53" s="17"/>
      <c r="Q53" s="17"/>
      <c r="R53" s="17"/>
      <c r="S53" s="66"/>
    </row>
    <row r="54" spans="1:75" s="30" customFormat="1" ht="24.75" customHeight="1" x14ac:dyDescent="0.25">
      <c r="A54" s="17">
        <v>48</v>
      </c>
      <c r="B54" s="33" t="s">
        <v>669</v>
      </c>
      <c r="C54" s="17">
        <v>4640</v>
      </c>
      <c r="D54" s="46" t="s">
        <v>670</v>
      </c>
      <c r="E54" s="17" t="s">
        <v>36</v>
      </c>
      <c r="F54" s="17" t="s">
        <v>128</v>
      </c>
      <c r="G54" s="35">
        <v>41739</v>
      </c>
      <c r="H54" s="35" t="str">
        <f t="shared" ca="1" si="1"/>
        <v xml:space="preserve">12 Tahun, 5 Bulan </v>
      </c>
      <c r="I54" s="33"/>
      <c r="J54" s="33" t="s">
        <v>671</v>
      </c>
      <c r="K54" s="33"/>
      <c r="L54" s="33" t="s">
        <v>25</v>
      </c>
      <c r="M54" s="17"/>
      <c r="N54" s="17"/>
      <c r="O54" s="17"/>
      <c r="P54" s="17"/>
      <c r="Q54" s="17"/>
      <c r="R54" s="17"/>
      <c r="S54" s="66"/>
    </row>
    <row r="55" spans="1:75" s="30" customFormat="1" ht="24.75" customHeight="1" x14ac:dyDescent="0.25">
      <c r="A55" s="17">
        <v>49</v>
      </c>
      <c r="B55" s="70" t="s">
        <v>672</v>
      </c>
      <c r="C55" s="61">
        <v>4641</v>
      </c>
      <c r="D55" s="71" t="s">
        <v>673</v>
      </c>
      <c r="E55" s="61" t="s">
        <v>36</v>
      </c>
      <c r="F55" s="61" t="s">
        <v>128</v>
      </c>
      <c r="G55" s="62">
        <v>41739</v>
      </c>
      <c r="H55" s="35" t="str">
        <f t="shared" ca="1" si="1"/>
        <v xml:space="preserve">12 Tahun, 5 Bulan </v>
      </c>
      <c r="I55" s="70" t="s">
        <v>256</v>
      </c>
      <c r="J55" s="70" t="s">
        <v>671</v>
      </c>
      <c r="K55" s="70"/>
      <c r="L55" s="70" t="s">
        <v>25</v>
      </c>
      <c r="M55" s="61"/>
      <c r="N55" s="61"/>
      <c r="O55" s="61"/>
      <c r="P55" s="61"/>
      <c r="Q55" s="61"/>
      <c r="R55" s="61"/>
      <c r="S55" s="66"/>
    </row>
    <row r="56" spans="1:75" s="72" customFormat="1" ht="24.75" customHeight="1" x14ac:dyDescent="0.25">
      <c r="A56" s="17">
        <v>50</v>
      </c>
      <c r="B56" s="33" t="s">
        <v>727</v>
      </c>
      <c r="C56" s="17">
        <v>4643</v>
      </c>
      <c r="D56" s="46" t="s">
        <v>728</v>
      </c>
      <c r="E56" s="17" t="s">
        <v>20</v>
      </c>
      <c r="F56" s="17" t="s">
        <v>729</v>
      </c>
      <c r="G56" s="35" t="s">
        <v>752</v>
      </c>
      <c r="H56" s="35" t="s">
        <v>753</v>
      </c>
      <c r="I56" s="33" t="s">
        <v>402</v>
      </c>
      <c r="J56" s="33" t="s">
        <v>751</v>
      </c>
      <c r="K56" s="33" t="s">
        <v>58</v>
      </c>
      <c r="L56" s="33" t="s">
        <v>25</v>
      </c>
      <c r="M56" s="17" t="s">
        <v>39</v>
      </c>
      <c r="N56" s="17" t="s">
        <v>39</v>
      </c>
      <c r="O56" s="17">
        <v>2</v>
      </c>
      <c r="P56" s="17">
        <v>1</v>
      </c>
      <c r="Q56" s="17">
        <v>1</v>
      </c>
      <c r="R56" s="73">
        <v>14</v>
      </c>
      <c r="S56" s="66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74"/>
    </row>
    <row r="57" spans="1:75" x14ac:dyDescent="0.3">
      <c r="A57" s="32"/>
      <c r="B57" s="2"/>
      <c r="C57" s="1"/>
      <c r="D57" s="1"/>
      <c r="G57" s="3"/>
      <c r="H57" s="3"/>
      <c r="I57" s="4"/>
      <c r="L57" s="1"/>
    </row>
    <row r="58" spans="1:75" x14ac:dyDescent="0.3">
      <c r="A58" s="6"/>
      <c r="B58" s="6"/>
      <c r="C58" s="7" t="s">
        <v>212</v>
      </c>
      <c r="D58" s="7"/>
      <c r="E58" s="7">
        <f>COUNTIF(E8:E56,"L")</f>
        <v>27</v>
      </c>
      <c r="G58" s="8"/>
      <c r="H58" s="8"/>
      <c r="I58" s="7"/>
      <c r="J58" s="7"/>
      <c r="K58" s="7"/>
      <c r="L58" s="6"/>
      <c r="M58" s="22"/>
      <c r="N58" s="22"/>
      <c r="O58" s="6"/>
      <c r="P58" s="5"/>
      <c r="Q58" s="5"/>
      <c r="R58" s="5"/>
    </row>
    <row r="59" spans="1:75" x14ac:dyDescent="0.3">
      <c r="A59" s="6"/>
      <c r="B59" s="6"/>
      <c r="C59" s="7" t="s">
        <v>213</v>
      </c>
      <c r="D59" s="7"/>
      <c r="E59" s="7">
        <f>COUNTIF(E7:E55,"p")</f>
        <v>23</v>
      </c>
      <c r="G59" s="8"/>
      <c r="H59" s="8"/>
      <c r="I59" s="7"/>
      <c r="J59" s="7"/>
      <c r="K59" s="7"/>
      <c r="L59" s="6"/>
      <c r="M59" s="22"/>
      <c r="N59" s="22"/>
      <c r="O59" s="6"/>
      <c r="P59" s="5"/>
      <c r="Q59" s="5"/>
      <c r="R59" s="5"/>
    </row>
    <row r="60" spans="1:75" x14ac:dyDescent="0.3">
      <c r="A60" s="6"/>
      <c r="B60" s="6"/>
      <c r="C60" s="26" t="s">
        <v>214</v>
      </c>
      <c r="D60" s="7"/>
      <c r="E60" s="7">
        <f>SUM(E58:E59)</f>
        <v>50</v>
      </c>
      <c r="G60" s="8"/>
      <c r="H60" s="8"/>
      <c r="I60" s="7"/>
      <c r="J60" s="7"/>
      <c r="K60" s="7"/>
      <c r="L60" s="6"/>
      <c r="M60" s="22"/>
      <c r="N60" s="22"/>
      <c r="O60" s="6"/>
      <c r="P60" s="5"/>
      <c r="Q60" s="5"/>
      <c r="R60" s="5"/>
    </row>
    <row r="61" spans="1:75" x14ac:dyDescent="0.3">
      <c r="A61" s="6"/>
      <c r="B61" s="9" t="s">
        <v>215</v>
      </c>
      <c r="E61" s="9"/>
      <c r="F61" s="16"/>
      <c r="G61" s="11" t="s">
        <v>256</v>
      </c>
      <c r="H61" s="11"/>
      <c r="I61" s="12"/>
      <c r="J61" s="6"/>
      <c r="K61" s="9"/>
      <c r="L61" s="6"/>
      <c r="M61" s="24" t="s">
        <v>920</v>
      </c>
      <c r="N61" s="22"/>
      <c r="O61" s="6"/>
      <c r="P61" s="5"/>
      <c r="Q61" s="5"/>
      <c r="R61" s="5"/>
    </row>
    <row r="62" spans="1:75" x14ac:dyDescent="0.3">
      <c r="A62" s="6"/>
      <c r="B62" s="9" t="s">
        <v>216</v>
      </c>
      <c r="E62" s="9"/>
      <c r="F62" s="16"/>
      <c r="G62" s="11"/>
      <c r="H62" s="11"/>
      <c r="I62" s="12" t="s">
        <v>256</v>
      </c>
      <c r="J62" s="6"/>
      <c r="K62" s="9"/>
      <c r="L62" s="6"/>
      <c r="M62" s="24" t="s">
        <v>1018</v>
      </c>
      <c r="N62" s="22"/>
      <c r="O62" s="6"/>
      <c r="P62" s="5"/>
      <c r="Q62" s="5"/>
      <c r="R62" s="5"/>
    </row>
    <row r="63" spans="1:75" x14ac:dyDescent="0.3">
      <c r="A63" s="6"/>
      <c r="B63" s="9"/>
      <c r="E63" s="9"/>
      <c r="F63" s="16"/>
      <c r="G63" s="11"/>
      <c r="H63" s="11"/>
      <c r="I63" s="12"/>
      <c r="J63" s="6"/>
      <c r="K63" s="9"/>
      <c r="L63" s="6"/>
      <c r="M63" s="24"/>
      <c r="N63" s="22"/>
      <c r="O63" s="6"/>
      <c r="P63" s="5"/>
      <c r="Q63" s="5"/>
      <c r="R63" s="5"/>
    </row>
    <row r="64" spans="1:75" x14ac:dyDescent="0.3">
      <c r="A64" s="6"/>
      <c r="B64" s="9"/>
      <c r="E64" s="9"/>
      <c r="F64" s="16"/>
      <c r="G64" s="11"/>
      <c r="H64" s="11"/>
      <c r="I64" s="12"/>
      <c r="J64" s="6"/>
      <c r="K64" s="9"/>
      <c r="L64" s="6"/>
      <c r="M64" s="24"/>
      <c r="N64" s="22"/>
      <c r="O64" s="6"/>
      <c r="P64" s="5"/>
      <c r="Q64" s="5"/>
      <c r="R64" s="5"/>
    </row>
    <row r="65" spans="1:18" x14ac:dyDescent="0.3">
      <c r="A65" s="6"/>
      <c r="B65" s="9"/>
      <c r="E65" s="9"/>
      <c r="F65" s="16"/>
      <c r="G65" s="11"/>
      <c r="H65" s="11"/>
      <c r="I65" s="12"/>
      <c r="J65" s="6"/>
      <c r="K65" s="9"/>
      <c r="L65" s="6"/>
      <c r="M65" s="24"/>
      <c r="N65" s="22"/>
      <c r="O65" s="6"/>
      <c r="P65" s="5"/>
      <c r="Q65" s="5"/>
      <c r="R65" s="5"/>
    </row>
    <row r="66" spans="1:18" x14ac:dyDescent="0.3">
      <c r="A66" s="6"/>
      <c r="B66" s="13" t="s">
        <v>217</v>
      </c>
      <c r="E66" s="9"/>
      <c r="F66" s="16"/>
      <c r="G66" s="14"/>
      <c r="H66" s="14"/>
      <c r="I66" s="15"/>
      <c r="J66" s="6"/>
      <c r="K66" s="9"/>
      <c r="L66" s="6"/>
      <c r="M66" s="25" t="s">
        <v>337</v>
      </c>
      <c r="N66" s="22"/>
      <c r="O66" s="6"/>
      <c r="P66" s="5"/>
      <c r="Q66" s="5"/>
      <c r="R66" s="5"/>
    </row>
    <row r="67" spans="1:18" x14ac:dyDescent="0.3">
      <c r="A67" s="6"/>
      <c r="B67" s="9" t="s">
        <v>218</v>
      </c>
      <c r="E67" s="9"/>
      <c r="F67" s="16"/>
      <c r="G67" s="11"/>
      <c r="H67" s="11"/>
      <c r="I67" s="16"/>
      <c r="J67" s="6"/>
      <c r="K67" s="9"/>
      <c r="L67" s="6"/>
      <c r="M67" s="24" t="s">
        <v>921</v>
      </c>
      <c r="N67" s="22"/>
      <c r="O67" s="6"/>
      <c r="P67" s="5"/>
      <c r="Q67" s="5"/>
      <c r="R67" s="5"/>
    </row>
  </sheetData>
  <mergeCells count="18">
    <mergeCell ref="M5:N5"/>
    <mergeCell ref="O5:O6"/>
    <mergeCell ref="A1:R1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P5:P6"/>
    <mergeCell ref="Q5:R5"/>
    <mergeCell ref="H5:H6"/>
    <mergeCell ref="I5:I6"/>
    <mergeCell ref="J5:J6"/>
    <mergeCell ref="K5:L5"/>
  </mergeCells>
  <pageMargins left="0.75" right="0.75" top="0.89" bottom="0.75" header="0.3" footer="0.3"/>
  <pageSetup paperSize="256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KELAS 1 </vt:lpstr>
      <vt:lpstr>KELAS 2</vt:lpstr>
      <vt:lpstr>KELAS 3</vt:lpstr>
      <vt:lpstr>KELAS 4</vt:lpstr>
      <vt:lpstr>KELAS 5</vt:lpstr>
      <vt:lpstr>KELAS 6</vt:lpstr>
      <vt:lpstr>'KELAS 1 '!Print_Area</vt:lpstr>
      <vt:lpstr>'KELAS 2'!Print_Area</vt:lpstr>
      <vt:lpstr>'KELAS 3'!Print_Area</vt:lpstr>
      <vt:lpstr>'KELAS 4'!Print_Area</vt:lpstr>
      <vt:lpstr>'KELAS 5'!Print_Area</vt:lpstr>
      <vt:lpstr>'KELAS 6'!Print_Area</vt:lpstr>
      <vt:lpstr>'KELAS 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aio</cp:lastModifiedBy>
  <cp:lastPrinted>2026-07-13T02:34:52Z</cp:lastPrinted>
  <dcterms:created xsi:type="dcterms:W3CDTF">2022-07-14T02:08:48Z</dcterms:created>
  <dcterms:modified xsi:type="dcterms:W3CDTF">2026-09-23T04:54:40Z</dcterms:modified>
</cp:coreProperties>
</file>